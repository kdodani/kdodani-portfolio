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wcbbc.sharepoint.com/sites/BCeIDRepl/Shared Documents/"/>
    </mc:Choice>
  </mc:AlternateContent>
  <xr:revisionPtr revIDLastSave="0" documentId="8_{AE8F96AB-0073-4DBB-8128-AC52740A3200}" xr6:coauthVersionLast="47" xr6:coauthVersionMax="47" xr10:uidLastSave="{00000000-0000-0000-0000-000000000000}"/>
  <bookViews>
    <workbookView xWindow="28860" yWindow="-4260" windowWidth="28740" windowHeight="16890" xr2:uid="{D8AC68D7-14AC-491E-907F-D31D9B004EA0}"/>
  </bookViews>
  <sheets>
    <sheet name="Implementation Plan" sheetId="1" r:id="rId1"/>
    <sheet name="Contac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C44" i="1"/>
  <c r="C45" i="1"/>
  <c r="C46" i="1"/>
  <c r="C47" i="1"/>
  <c r="C48" i="1"/>
  <c r="C56" i="1" l="1"/>
  <c r="C41" i="1"/>
  <c r="C42" i="1" s="1"/>
  <c r="C58" i="1"/>
  <c r="C27" i="1"/>
  <c r="C51" i="1"/>
  <c r="C52" i="1" s="1"/>
  <c r="C53" i="1" s="1"/>
  <c r="C54" i="1" s="1"/>
  <c r="C59" i="1"/>
  <c r="C68" i="1"/>
  <c r="C39" i="1"/>
  <c r="C80" i="1"/>
  <c r="C81" i="1" s="1"/>
  <c r="C82" i="1" s="1"/>
  <c r="C83" i="1" s="1"/>
  <c r="C85" i="1"/>
  <c r="C86" i="1" s="1"/>
  <c r="C87" i="1" s="1"/>
  <c r="C88" i="1" s="1"/>
  <c r="C75" i="1"/>
  <c r="C76" i="1" s="1"/>
  <c r="C77" i="1" s="1"/>
  <c r="C78" i="1" s="1"/>
  <c r="C70" i="1"/>
  <c r="C71" i="1" s="1"/>
  <c r="C72" i="1" s="1"/>
  <c r="C73" i="1" s="1"/>
  <c r="C15" i="1" l="1"/>
  <c r="C18" i="1" s="1"/>
  <c r="C19" i="1" s="1"/>
  <c r="C20" i="1" s="1"/>
  <c r="C21" i="1" s="1"/>
  <c r="C22" i="1" s="1"/>
  <c r="C23" i="1" s="1"/>
  <c r="C24" i="1" s="1"/>
  <c r="C25" i="1" s="1"/>
  <c r="C57" i="1"/>
  <c r="C28" i="1"/>
  <c r="C30" i="1" s="1"/>
  <c r="C31" i="1" s="1"/>
  <c r="C32" i="1" s="1"/>
  <c r="C33" i="1" s="1"/>
  <c r="C35" i="1" s="1"/>
  <c r="C36" i="1" s="1"/>
  <c r="C37" i="1" s="1"/>
  <c r="C60" i="1"/>
  <c r="J20" i="1" l="1"/>
  <c r="C62" i="1"/>
  <c r="C64" i="1" s="1"/>
  <c r="C65" i="1" s="1"/>
  <c r="C61" i="1"/>
</calcChain>
</file>

<file path=xl/sharedStrings.xml><?xml version="1.0" encoding="utf-8"?>
<sst xmlns="http://schemas.openxmlformats.org/spreadsheetml/2006/main" count="334" uniqueCount="203">
  <si>
    <t>version 1.0
03/14/2025</t>
  </si>
  <si>
    <t>BCeID Replacement  Implementation Plan</t>
  </si>
  <si>
    <t>LEGEND</t>
  </si>
  <si>
    <t>Task or time cells</t>
  </si>
  <si>
    <t>Task outstanding/not completed (close to or past due date)</t>
  </si>
  <si>
    <t>Start or end time entered (non critical)</t>
  </si>
  <si>
    <t>Review/validate results</t>
  </si>
  <si>
    <t>Start or end time entered (critical)</t>
  </si>
  <si>
    <t>Contact OPs at 3223 (to release task)</t>
  </si>
  <si>
    <t>Calculated time (based on end time of previous task)</t>
  </si>
  <si>
    <t>Contact team member</t>
  </si>
  <si>
    <t>Actual times from PCON</t>
  </si>
  <si>
    <t>Jump Point</t>
  </si>
  <si>
    <t>Task comments from last year</t>
  </si>
  <si>
    <t>Start Date</t>
  </si>
  <si>
    <t>Task #</t>
  </si>
  <si>
    <t>Task Description</t>
  </si>
  <si>
    <t>CM#</t>
  </si>
  <si>
    <t>Start Time</t>
  </si>
  <si>
    <t>End 
Time</t>
  </si>
  <si>
    <t>Dependent upon Task #</t>
  </si>
  <si>
    <t>Who</t>
  </si>
  <si>
    <t>Status</t>
  </si>
  <si>
    <t>Comment</t>
  </si>
  <si>
    <t>last year used</t>
  </si>
  <si>
    <t>Preparation for PROD</t>
  </si>
  <si>
    <t xml:space="preserve"> </t>
  </si>
  <si>
    <t>Activities to be done advance of implementation</t>
  </si>
  <si>
    <t>Data preparation</t>
  </si>
  <si>
    <t>Purchase trusted root certificate from Cert authority for PROD</t>
  </si>
  <si>
    <t>CPR (Nicolas)</t>
  </si>
  <si>
    <t>Completed</t>
  </si>
  <si>
    <t>Create text for banner message in Provider Portal to advise users of imminent login process change.</t>
  </si>
  <si>
    <t>Security certificate in APIM</t>
  </si>
  <si>
    <t>install partner certificates in PROD APIM external WAF</t>
  </si>
  <si>
    <t>WorkSafeBC (CSE)</t>
  </si>
  <si>
    <t>CHG0042978</t>
  </si>
  <si>
    <t>Install partner certificates in PROD APIM</t>
  </si>
  <si>
    <t>3-Apr,  6 PM</t>
  </si>
  <si>
    <t>3-Apr,  6:15 PM</t>
  </si>
  <si>
    <t>Nishant</t>
  </si>
  <si>
    <t>verify PROD connectivity between SDF and APIM</t>
  </si>
  <si>
    <t>provision signing and ecryption keys to be used in PROD TFIM</t>
  </si>
  <si>
    <t>Paul (PCIS)</t>
  </si>
  <si>
    <t>prepare PROD blueprint for FIM federation</t>
  </si>
  <si>
    <t>Add Portal Notifications portlet to login page and adjust permissions on Portal Notifications to allow anonymous users to view it</t>
  </si>
  <si>
    <t>Create backup of FIM configuration for rollback</t>
  </si>
  <si>
    <t>Paul (PCIS)
Victor (PCIS)</t>
  </si>
  <si>
    <t>Prepare live online services account for PCIS to verify login journey during go-live</t>
  </si>
  <si>
    <t>Perform FIM Federation set-up</t>
  </si>
  <si>
    <t xml:space="preserve">Create in PROD "worksafebc" federation from blueprint </t>
  </si>
  <si>
    <t>export FIM service Provider metadata file for 'worksafebc' federation and provide to WorkSafeBC</t>
  </si>
  <si>
    <t>set up SAML provider in ForgeRock</t>
  </si>
  <si>
    <t>Deploy Updates into ForgeRock 
- User Directory Schema update for CN
- Push the new Access.json for Role to access the new Telus/BCeID endpoint
- TelusEndpoint and Script
- Add BCeID Endpoint and Script 
- Verify Code / Environment contains new SAML Service type</t>
  </si>
  <si>
    <t>CHG0042849</t>
  </si>
  <si>
    <t>Guy/Shawn</t>
  </si>
  <si>
    <t>pass Service Provider metadata file to PCIS</t>
  </si>
  <si>
    <t>Receive identity provider metadata file from WorkSafeBC</t>
  </si>
  <si>
    <t>create partner configuration in "worksafebc" federation</t>
  </si>
  <si>
    <t>ES3 updates</t>
  </si>
  <si>
    <t>create change record for ES3 updates (APIs)</t>
  </si>
  <si>
    <t>complete</t>
  </si>
  <si>
    <t xml:space="preserve">create release candidate </t>
  </si>
  <si>
    <t xml:space="preserve">Run pipelines to promote </t>
  </si>
  <si>
    <t>Add API to APIM</t>
  </si>
  <si>
    <t>Deploy the new ForgeRock API (consumed by CPR)</t>
  </si>
  <si>
    <t>Add API to SDF</t>
  </si>
  <si>
    <t>Deploy the new API in SDF to consume ForgeRock GUID</t>
  </si>
  <si>
    <t>Nicolas</t>
  </si>
  <si>
    <t>configure mTLS on SDF to consume ForgeRock REST API</t>
  </si>
  <si>
    <t>verify mTLS connectivity between SDF and WSBC</t>
  </si>
  <si>
    <t>verify API integration (using postman)</t>
  </si>
  <si>
    <t>verify API integration (E2E)</t>
  </si>
  <si>
    <t>CPR (Dan)</t>
  </si>
  <si>
    <t>Create preoload provider excel report from PROD and send to WorkSafeBC</t>
  </si>
  <si>
    <t>file provided to WSBC via Sharepoint. Awaiting confirmation that WSBC is good with the file before marking thsi as complete</t>
  </si>
  <si>
    <t>Remind PMG that no updates to CPR will be done on April 11th</t>
  </si>
  <si>
    <t>Valerie Labbe</t>
  </si>
  <si>
    <t>Post banner message on Provider Portal providing instructions to users on upcoming changes</t>
  </si>
  <si>
    <t>Paul</t>
  </si>
  <si>
    <t>Verified live ~08:00 Pacific April 11th, was available after 00:00</t>
  </si>
  <si>
    <t>Day before implementation</t>
  </si>
  <si>
    <t>Retrieve BCeID emails and load into ForgeRock</t>
  </si>
  <si>
    <t>Seed BCeID batch extract with fresh export file from CPR</t>
  </si>
  <si>
    <t>Run batch job to retrieve email addresses from BCEID web services</t>
  </si>
  <si>
    <t>Run import job to update ForgeRock with new email accounts and BCeID GUIDs</t>
  </si>
  <si>
    <t>WorkSafeBC to provide PROD csv file to TELUS for Data Conversion in CPR</t>
  </si>
  <si>
    <r>
      <t>9:30:00 AM</t>
    </r>
    <r>
      <rPr>
        <sz val="8"/>
        <rFont val="Verdana"/>
        <family val="2"/>
      </rPr>
      <t xml:space="preserve">  1:30 PM</t>
    </r>
  </si>
  <si>
    <t>Lyle</t>
  </si>
  <si>
    <t>THS to update CPR</t>
  </si>
  <si>
    <t>Copy the BC_USERID field to the BC_USERID_BKP field in the CPR database schema in PROD environment</t>
  </si>
  <si>
    <t>Modify BC_USERID field with size to 100 characters to  accomodate the email address</t>
  </si>
  <si>
    <t>Deploy CPR application</t>
  </si>
  <si>
    <t>Run conversion job to replace BCeID user id with provider email address</t>
  </si>
  <si>
    <t xml:space="preserve">verify conversion job (provide report with before and after coversion for WSBC to verify) </t>
  </si>
  <si>
    <t>verify end-to-end call from CPR to ForgeRock to retrieve user GUID</t>
  </si>
  <si>
    <t>Manually run webMethods batch job to produce CPR Extract XML file and verify content</t>
  </si>
  <si>
    <t>CPR (Dan, Daniel)</t>
  </si>
  <si>
    <t>prepare PROD build package</t>
  </si>
  <si>
    <t>update PROD build properties as required</t>
  </si>
  <si>
    <t>produce PROD build package</t>
  </si>
  <si>
    <t>Go-live Activities</t>
  </si>
  <si>
    <t>Check existing backups of portal and deployment manager configuration</t>
  </si>
  <si>
    <t>8:00am</t>
  </si>
  <si>
    <t>PCIS</t>
  </si>
  <si>
    <t>Copy backups for FIM, deployment manager profile and provider portal xmlaccess outputs to and tag as pre-go-live</t>
  </si>
  <si>
    <t>Complete</t>
  </si>
  <si>
    <t>Perform FIM Federation final set-up</t>
  </si>
  <si>
    <t>8:10am</t>
  </si>
  <si>
    <t>Back up key store containing BCeID signing key</t>
  </si>
  <si>
    <t>FIM signature validation key selection bug</t>
  </si>
  <si>
    <t>Delete old SHA1 signed signing key used by BCeID</t>
  </si>
  <si>
    <t>Verify login journey</t>
  </si>
  <si>
    <t>Paul/Guy</t>
  </si>
  <si>
    <t>? Not with account provisioned with GUID, but just to show SAML assertion decryption with missing SMGOV_USERGUID element?</t>
  </si>
  <si>
    <t xml:space="preserve">Rollback checkpoint if login jouney not resolvable </t>
  </si>
  <si>
    <t>Deploy updated fim error page</t>
  </si>
  <si>
    <t>8:30am</t>
  </si>
  <si>
    <t>Update ths-allerror.html in file system</t>
  </si>
  <si>
    <t>Adjust pages configuration as needed to ensure saml pages are enabled</t>
  </si>
  <si>
    <t>Publish pages to domain and load all changes to runtime</t>
  </si>
  <si>
    <t>1110, 1120</t>
  </si>
  <si>
    <t>Trigger FIM error page to verify content update</t>
  </si>
  <si>
    <t>Deploy portlet artifiacts</t>
  </si>
  <si>
    <t>9:00am</t>
  </si>
  <si>
    <t>Update login.war</t>
  </si>
  <si>
    <t>Configure WP ConfigService redirect.logout, redirect.logout.ssl, and redirect.logout.url settings in Deployment Manager console</t>
  </si>
  <si>
    <t>Update THS context selector portlet</t>
  </si>
  <si>
    <t>Deploy updated WorkSafeBC.gif via WebDAV</t>
  </si>
  <si>
    <t>Deploy web server static files</t>
  </si>
  <si>
    <t>9:30am</t>
  </si>
  <si>
    <t>replace existing static files with new static files  on HCSP14WEB and HCSP15WEB</t>
  </si>
  <si>
    <t>Ensure obsolete / retired files are removed from static files</t>
  </si>
  <si>
    <t>Verify portal assets</t>
  </si>
  <si>
    <t>1440, 1420, 1410</t>
  </si>
  <si>
    <t>Paul &amp; Victor (PCIS)</t>
  </si>
  <si>
    <t>Notify participants of deployment success</t>
  </si>
  <si>
    <t>Paul / Lyle</t>
  </si>
  <si>
    <t>Rollback (if needed)</t>
  </si>
  <si>
    <t>Provider Portal</t>
  </si>
  <si>
    <t>Restore BCeID login by re-deploying login portlet</t>
  </si>
  <si>
    <t>Restore BCeID signature validation key into FIM keystore</t>
  </si>
  <si>
    <t>Post Go-live</t>
  </si>
  <si>
    <t>Send email to all new ForgeRock account users advising them how to set their password</t>
  </si>
  <si>
    <t>Communication Plan</t>
  </si>
  <si>
    <t>On Call Directory</t>
  </si>
  <si>
    <t>On Call Support Telphone Directory.xlsx (sharepoint.com)</t>
  </si>
  <si>
    <t>CPR team</t>
  </si>
  <si>
    <t>First</t>
  </si>
  <si>
    <t>Last</t>
  </si>
  <si>
    <t>Office #</t>
  </si>
  <si>
    <t>Cell/Primary</t>
  </si>
  <si>
    <t>Home/Secondary</t>
  </si>
  <si>
    <t>Role</t>
  </si>
  <si>
    <t>End Time</t>
  </si>
  <si>
    <t xml:space="preserve">Cristina </t>
  </si>
  <si>
    <t>De Guzman</t>
  </si>
  <si>
    <t>(647) 465-8786</t>
  </si>
  <si>
    <t>Project Manager</t>
  </si>
  <si>
    <t>Daniel</t>
  </si>
  <si>
    <t>Heo</t>
  </si>
  <si>
    <t>(416) 803-2964</t>
  </si>
  <si>
    <t>Solutions Architect</t>
  </si>
  <si>
    <t>Monge</t>
  </si>
  <si>
    <t>(</t>
  </si>
  <si>
    <t>Dan</t>
  </si>
  <si>
    <t>Jianu</t>
  </si>
  <si>
    <t>(416) 629-2568</t>
  </si>
  <si>
    <t>developer</t>
  </si>
  <si>
    <t>PCIS Team</t>
  </si>
  <si>
    <t xml:space="preserve">Andrea </t>
  </si>
  <si>
    <t>Gomory</t>
  </si>
  <si>
    <t>Sabourin Hertzog</t>
  </si>
  <si>
    <t>604-441-4639</t>
  </si>
  <si>
    <t>Architect</t>
  </si>
  <si>
    <t>Victor</t>
  </si>
  <si>
    <t>Ermolaev</t>
  </si>
  <si>
    <t>Test lead</t>
  </si>
  <si>
    <t>WorkSafeBC team</t>
  </si>
  <si>
    <t xml:space="preserve">Lyle </t>
  </si>
  <si>
    <t>Bowman</t>
  </si>
  <si>
    <t>Guy</t>
  </si>
  <si>
    <t>Turik</t>
  </si>
  <si>
    <t>Shawn</t>
  </si>
  <si>
    <t>Grado</t>
  </si>
  <si>
    <t>Khushboo</t>
  </si>
  <si>
    <t>Dodani</t>
  </si>
  <si>
    <t>On call and backup</t>
  </si>
  <si>
    <t>Mitesh</t>
  </si>
  <si>
    <t>Birje</t>
  </si>
  <si>
    <t>Management</t>
  </si>
  <si>
    <t>Harminder</t>
  </si>
  <si>
    <t>Sandhu</t>
  </si>
  <si>
    <t>604 618-2496</t>
  </si>
  <si>
    <t>WorkSafeBC Senior Product Manager</t>
  </si>
  <si>
    <t>Damian</t>
  </si>
  <si>
    <t>Horton</t>
  </si>
  <si>
    <t>647-453-5271</t>
  </si>
  <si>
    <t>Telus Product Manager</t>
  </si>
  <si>
    <t>Zaheer</t>
  </si>
  <si>
    <t>Mosam</t>
  </si>
  <si>
    <t>Telus</t>
  </si>
  <si>
    <t>Management - For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</si>
</sst>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[$-409]h:mm\ AM/PM;@"/>
    <numFmt numFmtId="166" formatCode="0.0"/>
    <numFmt numFmtId="167" formatCode="m/d;@"/>
    <numFmt numFmtId="168" formatCode="ddd"/>
    <numFmt numFmtId="169" formatCode="ddd\ mmm\-dd"/>
    <numFmt numFmtId="170" formatCode="m/d/yy;@"/>
    <numFmt numFmtId="171" formatCode="[$-F400]h:mm:ss\ AM/PM"/>
    <numFmt numFmtId="172" formatCode="[&lt;=9999999]###\-####;\(###\)\ ###\-####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6"/>
      <name val="Verdana"/>
      <family val="2"/>
    </font>
    <font>
      <b/>
      <sz val="16"/>
      <name val="Arial"/>
      <family val="2"/>
    </font>
    <font>
      <sz val="9"/>
      <name val="Arial"/>
      <family val="2"/>
    </font>
    <font>
      <u/>
      <sz val="11"/>
      <color theme="10"/>
      <name val="Aptos Narrow"/>
      <family val="2"/>
      <scheme val="minor"/>
    </font>
    <font>
      <b/>
      <i/>
      <sz val="8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b/>
      <sz val="12"/>
      <color indexed="9"/>
      <name val="Verdana"/>
      <family val="2"/>
    </font>
    <font>
      <b/>
      <sz val="8"/>
      <color theme="0"/>
      <name val="Verdana"/>
      <family val="2"/>
    </font>
    <font>
      <sz val="8"/>
      <color rgb="FF7030A0"/>
      <name val="Verdana"/>
      <family val="2"/>
    </font>
    <font>
      <sz val="8"/>
      <color rgb="FF000000"/>
      <name val="Verdana"/>
      <family val="2"/>
    </font>
    <font>
      <strike/>
      <sz val="8"/>
      <name val="Verdana"/>
      <family val="2"/>
    </font>
    <font>
      <b/>
      <sz val="8"/>
      <color rgb="FF000000"/>
      <name val="Verdana"/>
      <family val="2"/>
    </font>
    <font>
      <i/>
      <sz val="8"/>
      <name val="Verdana"/>
      <family val="2"/>
    </font>
    <font>
      <b/>
      <sz val="8"/>
      <color indexed="9"/>
      <name val="Verdana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b/>
      <sz val="12"/>
      <color theme="0"/>
      <name val="Verdana"/>
      <family val="2"/>
    </font>
    <font>
      <sz val="11"/>
      <color theme="10"/>
      <name val="Aptos Narrow"/>
      <family val="2"/>
      <scheme val="minor"/>
    </font>
    <font>
      <b/>
      <sz val="14"/>
      <name val="Verdana"/>
      <family val="2"/>
    </font>
    <font>
      <sz val="14"/>
      <color indexed="8"/>
      <name val="Verdana"/>
      <family val="2"/>
    </font>
    <font>
      <u/>
      <sz val="18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name val="Verdana"/>
      <family val="2"/>
    </font>
    <font>
      <sz val="9"/>
      <color indexed="8"/>
      <name val="Verdana"/>
      <family val="2"/>
    </font>
    <font>
      <sz val="9"/>
      <color theme="1"/>
      <name val="Verdana"/>
      <family val="2"/>
    </font>
    <font>
      <b/>
      <sz val="10"/>
      <color theme="1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0"/>
      <color rgb="FF000000"/>
      <name val="Verdana"/>
      <family val="2"/>
    </font>
    <font>
      <sz val="8"/>
      <name val="Verdana"/>
    </font>
    <font>
      <sz val="8"/>
      <color rgb="FFC00000"/>
      <name val="Verdana"/>
      <family val="2"/>
    </font>
    <font>
      <b/>
      <sz val="8"/>
      <color rgb="FFC00000"/>
      <name val="Verdana"/>
      <family val="2"/>
    </font>
    <font>
      <b/>
      <sz val="8"/>
      <name val="Verdana"/>
    </font>
    <font>
      <sz val="8"/>
      <color rgb="FF000000"/>
      <name val="Verdana"/>
    </font>
  </fonts>
  <fills count="2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6F6F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10" fillId="0" borderId="0" applyNumberFormat="0" applyFill="0" applyBorder="0" applyAlignment="0" applyProtection="0"/>
  </cellStyleXfs>
  <cellXfs count="323">
    <xf numFmtId="0" fontId="0" fillId="0" borderId="0" xfId="0"/>
    <xf numFmtId="0" fontId="7" fillId="2" borderId="1" xfId="1" applyFont="1" applyFill="1" applyBorder="1" applyAlignment="1">
      <alignment horizontal="center" vertical="center" wrapText="1"/>
    </xf>
    <xf numFmtId="165" fontId="8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top"/>
    </xf>
    <xf numFmtId="165" fontId="6" fillId="2" borderId="1" xfId="1" applyNumberFormat="1" applyFont="1" applyFill="1" applyBorder="1" applyAlignment="1">
      <alignment horizontal="left" vertical="top"/>
    </xf>
    <xf numFmtId="165" fontId="9" fillId="2" borderId="1" xfId="1" applyNumberFormat="1" applyFont="1" applyFill="1" applyBorder="1" applyAlignment="1">
      <alignment horizontal="center" vertical="top"/>
    </xf>
    <xf numFmtId="166" fontId="6" fillId="2" borderId="1" xfId="1" applyNumberFormat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horizontal="center" vertical="top"/>
    </xf>
    <xf numFmtId="0" fontId="5" fillId="2" borderId="1" xfId="1" applyFont="1" applyFill="1" applyBorder="1" applyAlignment="1">
      <alignment horizontal="left" vertical="top" wrapText="1"/>
    </xf>
    <xf numFmtId="0" fontId="2" fillId="0" borderId="0" xfId="0" applyFont="1"/>
    <xf numFmtId="164" fontId="4" fillId="3" borderId="2" xfId="1" applyNumberFormat="1" applyFont="1" applyFill="1" applyBorder="1" applyAlignment="1">
      <alignment vertical="center" wrapText="1"/>
    </xf>
    <xf numFmtId="164" fontId="5" fillId="3" borderId="3" xfId="1" applyNumberFormat="1" applyFont="1" applyFill="1" applyBorder="1" applyAlignment="1">
      <alignment vertical="center" wrapText="1"/>
    </xf>
    <xf numFmtId="166" fontId="6" fillId="0" borderId="4" xfId="1" applyNumberFormat="1" applyFont="1" applyBorder="1" applyAlignment="1">
      <alignment vertical="center" wrapText="1"/>
    </xf>
    <xf numFmtId="0" fontId="7" fillId="3" borderId="4" xfId="1" applyFont="1" applyFill="1" applyBorder="1" applyAlignment="1">
      <alignment vertical="center" wrapText="1"/>
    </xf>
    <xf numFmtId="0" fontId="10" fillId="0" borderId="0" xfId="2"/>
    <xf numFmtId="0" fontId="4" fillId="4" borderId="1" xfId="1" applyFont="1" applyFill="1" applyBorder="1" applyAlignment="1">
      <alignment horizontal="left" vertical="center" wrapText="1"/>
    </xf>
    <xf numFmtId="0" fontId="1" fillId="0" borderId="0" xfId="0" applyFont="1"/>
    <xf numFmtId="167" fontId="6" fillId="0" borderId="1" xfId="1" applyNumberFormat="1" applyFont="1" applyBorder="1" applyAlignment="1">
      <alignment horizontal="center" vertical="top" wrapText="1"/>
    </xf>
    <xf numFmtId="168" fontId="6" fillId="0" borderId="1" xfId="1" applyNumberFormat="1" applyFont="1" applyBorder="1" applyAlignment="1">
      <alignment horizontal="center" vertical="top" wrapText="1"/>
    </xf>
    <xf numFmtId="166" fontId="6" fillId="0" borderId="1" xfId="1" applyNumberFormat="1" applyFont="1" applyBorder="1" applyAlignment="1" applyProtection="1">
      <alignment horizontal="left" vertical="top" wrapText="1"/>
      <protection locked="0"/>
    </xf>
    <xf numFmtId="0" fontId="11" fillId="0" borderId="1" xfId="1" applyFont="1" applyBorder="1" applyAlignment="1">
      <alignment horizontal="left" vertical="top" wrapText="1"/>
    </xf>
    <xf numFmtId="165" fontId="6" fillId="0" borderId="1" xfId="1" applyNumberFormat="1" applyFont="1" applyBorder="1" applyAlignment="1">
      <alignment horizontal="left" vertical="top" wrapText="1"/>
    </xf>
    <xf numFmtId="0" fontId="6" fillId="0" borderId="1" xfId="1" applyFont="1" applyBorder="1" applyAlignment="1" applyProtection="1">
      <alignment horizontal="left" vertical="top" wrapText="1"/>
      <protection locked="0"/>
    </xf>
    <xf numFmtId="166" fontId="6" fillId="0" borderId="1" xfId="1" applyNumberFormat="1" applyFont="1" applyBorder="1" applyAlignment="1">
      <alignment horizontal="left" vertical="top" wrapText="1"/>
    </xf>
    <xf numFmtId="0" fontId="6" fillId="0" borderId="1" xfId="1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166" fontId="6" fillId="5" borderId="1" xfId="1" applyNumberFormat="1" applyFont="1" applyFill="1" applyBorder="1" applyAlignment="1">
      <alignment horizontal="center" vertical="top" wrapText="1"/>
    </xf>
    <xf numFmtId="0" fontId="6" fillId="0" borderId="1" xfId="1" applyFont="1" applyBorder="1" applyAlignment="1">
      <alignment horizontal="left" vertical="top" wrapText="1"/>
    </xf>
    <xf numFmtId="165" fontId="6" fillId="6" borderId="1" xfId="1" applyNumberFormat="1" applyFont="1" applyFill="1" applyBorder="1" applyAlignment="1">
      <alignment horizontal="center" vertical="top" wrapText="1"/>
    </xf>
    <xf numFmtId="166" fontId="6" fillId="7" borderId="1" xfId="1" applyNumberFormat="1" applyFont="1" applyFill="1" applyBorder="1" applyAlignment="1">
      <alignment horizontal="left" vertical="top" wrapText="1"/>
    </xf>
    <xf numFmtId="165" fontId="6" fillId="8" borderId="1" xfId="1" applyNumberFormat="1" applyFont="1" applyFill="1" applyBorder="1" applyAlignment="1">
      <alignment horizontal="center" vertical="top" wrapText="1"/>
    </xf>
    <xf numFmtId="166" fontId="6" fillId="9" borderId="1" xfId="1" applyNumberFormat="1" applyFont="1" applyFill="1" applyBorder="1" applyAlignment="1">
      <alignment horizontal="left" vertical="top" wrapText="1"/>
    </xf>
    <xf numFmtId="165" fontId="6" fillId="10" borderId="1" xfId="1" applyNumberFormat="1" applyFont="1" applyFill="1" applyBorder="1" applyAlignment="1">
      <alignment horizontal="center" vertical="top" wrapText="1"/>
    </xf>
    <xf numFmtId="166" fontId="6" fillId="11" borderId="1" xfId="1" applyNumberFormat="1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left" vertical="top" wrapText="1"/>
    </xf>
    <xf numFmtId="166" fontId="13" fillId="13" borderId="1" xfId="0" applyNumberFormat="1" applyFont="1" applyFill="1" applyBorder="1" applyAlignment="1">
      <alignment horizontal="left" vertical="top" wrapText="1"/>
    </xf>
    <xf numFmtId="20" fontId="6" fillId="14" borderId="1" xfId="1" applyNumberFormat="1" applyFont="1" applyFill="1" applyBorder="1" applyAlignment="1">
      <alignment horizontal="left" vertical="top" wrapText="1"/>
    </xf>
    <xf numFmtId="167" fontId="5" fillId="15" borderId="1" xfId="1" applyNumberFormat="1" applyFont="1" applyFill="1" applyBorder="1" applyAlignment="1">
      <alignment horizontal="center" vertical="top"/>
    </xf>
    <xf numFmtId="164" fontId="5" fillId="15" borderId="1" xfId="1" applyNumberFormat="1" applyFont="1" applyFill="1" applyBorder="1" applyAlignment="1">
      <alignment horizontal="center" vertical="top"/>
    </xf>
    <xf numFmtId="166" fontId="5" fillId="15" borderId="1" xfId="1" applyNumberFormat="1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center" vertical="top" wrapText="1"/>
    </xf>
    <xf numFmtId="165" fontId="5" fillId="15" borderId="1" xfId="1" applyNumberFormat="1" applyFont="1" applyFill="1" applyBorder="1" applyAlignment="1">
      <alignment horizontal="center" vertical="top" wrapText="1"/>
    </xf>
    <xf numFmtId="20" fontId="5" fillId="15" borderId="1" xfId="1" applyNumberFormat="1" applyFont="1" applyFill="1" applyBorder="1" applyAlignment="1">
      <alignment horizontal="center" vertical="top" wrapText="1"/>
    </xf>
    <xf numFmtId="166" fontId="5" fillId="15" borderId="1" xfId="1" applyNumberFormat="1" applyFont="1" applyFill="1" applyBorder="1" applyAlignment="1">
      <alignment horizontal="center" vertical="top" wrapText="1"/>
    </xf>
    <xf numFmtId="0" fontId="5" fillId="15" borderId="1" xfId="1" applyFont="1" applyFill="1" applyBorder="1" applyAlignment="1">
      <alignment horizontal="left" vertical="top" wrapText="1"/>
    </xf>
    <xf numFmtId="167" fontId="14" fillId="16" borderId="1" xfId="1" applyNumberFormat="1" applyFont="1" applyFill="1" applyBorder="1" applyAlignment="1">
      <alignment horizontal="center" vertical="center" wrapText="1"/>
    </xf>
    <xf numFmtId="164" fontId="14" fillId="16" borderId="1" xfId="1" applyNumberFormat="1" applyFont="1" applyFill="1" applyBorder="1" applyAlignment="1">
      <alignment horizontal="center" vertical="center" wrapText="1"/>
    </xf>
    <xf numFmtId="166" fontId="14" fillId="16" borderId="1" xfId="1" applyNumberFormat="1" applyFont="1" applyFill="1" applyBorder="1" applyAlignment="1" applyProtection="1">
      <alignment horizontal="left" vertical="center" wrapText="1"/>
      <protection locked="0"/>
    </xf>
    <xf numFmtId="0" fontId="14" fillId="16" borderId="1" xfId="1" applyFont="1" applyFill="1" applyBorder="1" applyAlignment="1">
      <alignment horizontal="left" vertical="center" wrapText="1"/>
    </xf>
    <xf numFmtId="165" fontId="14" fillId="16" borderId="1" xfId="1" applyNumberFormat="1" applyFont="1" applyFill="1" applyBorder="1" applyAlignment="1">
      <alignment horizontal="left" vertical="center" wrapText="1"/>
    </xf>
    <xf numFmtId="20" fontId="6" fillId="16" borderId="1" xfId="1" applyNumberFormat="1" applyFont="1" applyFill="1" applyBorder="1" applyAlignment="1">
      <alignment horizontal="left" vertical="center" wrapText="1"/>
    </xf>
    <xf numFmtId="165" fontId="6" fillId="16" borderId="1" xfId="1" applyNumberFormat="1" applyFont="1" applyFill="1" applyBorder="1" applyAlignment="1">
      <alignment horizontal="left" vertical="center" wrapText="1"/>
    </xf>
    <xf numFmtId="165" fontId="15" fillId="16" borderId="1" xfId="1" applyNumberFormat="1" applyFont="1" applyFill="1" applyBorder="1" applyAlignment="1">
      <alignment horizontal="center" vertical="center" wrapText="1"/>
    </xf>
    <xf numFmtId="166" fontId="6" fillId="16" borderId="1" xfId="1" applyNumberFormat="1" applyFont="1" applyFill="1" applyBorder="1" applyAlignment="1">
      <alignment horizontal="left" vertical="center" wrapText="1"/>
    </xf>
    <xf numFmtId="0" fontId="15" fillId="16" borderId="1" xfId="1" applyFont="1" applyFill="1" applyBorder="1" applyAlignment="1">
      <alignment horizontal="center" vertical="center" wrapText="1"/>
    </xf>
    <xf numFmtId="0" fontId="5" fillId="16" borderId="1" xfId="1" applyFont="1" applyFill="1" applyBorder="1" applyAlignment="1">
      <alignment horizontal="center" vertical="center" wrapText="1"/>
    </xf>
    <xf numFmtId="0" fontId="5" fillId="16" borderId="1" xfId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67" fontId="16" fillId="17" borderId="1" xfId="1" applyNumberFormat="1" applyFont="1" applyFill="1" applyBorder="1" applyAlignment="1">
      <alignment horizontal="center" vertical="top" wrapText="1"/>
    </xf>
    <xf numFmtId="164" fontId="16" fillId="17" borderId="1" xfId="1" applyNumberFormat="1" applyFont="1" applyFill="1" applyBorder="1" applyAlignment="1">
      <alignment horizontal="center" vertical="top" wrapText="1"/>
    </xf>
    <xf numFmtId="166" fontId="17" fillId="18" borderId="1" xfId="1" applyNumberFormat="1" applyFont="1" applyFill="1" applyBorder="1" applyAlignment="1" applyProtection="1">
      <alignment horizontal="left" vertical="top" wrapText="1"/>
      <protection locked="0"/>
    </xf>
    <xf numFmtId="0" fontId="16" fillId="17" borderId="2" xfId="1" applyFont="1" applyFill="1" applyBorder="1" applyAlignment="1">
      <alignment horizontal="left" vertical="center" wrapText="1"/>
    </xf>
    <xf numFmtId="0" fontId="16" fillId="17" borderId="3" xfId="1" applyFont="1" applyFill="1" applyBorder="1" applyAlignment="1">
      <alignment horizontal="left" vertical="center" wrapText="1"/>
    </xf>
    <xf numFmtId="0" fontId="16" fillId="17" borderId="4" xfId="1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169" fontId="5" fillId="19" borderId="1" xfId="1" applyNumberFormat="1" applyFont="1" applyFill="1" applyBorder="1" applyAlignment="1">
      <alignment horizontal="center" vertical="top"/>
    </xf>
    <xf numFmtId="164" fontId="5" fillId="19" borderId="1" xfId="1" applyNumberFormat="1" applyFont="1" applyFill="1" applyBorder="1" applyAlignment="1">
      <alignment horizontal="center" vertical="top"/>
    </xf>
    <xf numFmtId="1" fontId="5" fillId="19" borderId="1" xfId="1" applyNumberFormat="1" applyFont="1" applyFill="1" applyBorder="1" applyAlignment="1" applyProtection="1">
      <alignment horizontal="left" vertical="top" wrapText="1"/>
      <protection locked="0"/>
    </xf>
    <xf numFmtId="0" fontId="5" fillId="19" borderId="1" xfId="1" applyFont="1" applyFill="1" applyBorder="1" applyAlignment="1">
      <alignment horizontal="left" vertical="top" wrapText="1"/>
    </xf>
    <xf numFmtId="166" fontId="5" fillId="19" borderId="1" xfId="1" applyNumberFormat="1" applyFont="1" applyFill="1" applyBorder="1" applyAlignment="1" applyProtection="1">
      <alignment horizontal="left" vertical="top" wrapText="1"/>
      <protection locked="0"/>
    </xf>
    <xf numFmtId="20" fontId="5" fillId="19" borderId="1" xfId="1" applyNumberFormat="1" applyFont="1" applyFill="1" applyBorder="1" applyAlignment="1">
      <alignment horizontal="left" vertical="top" wrapText="1"/>
    </xf>
    <xf numFmtId="165" fontId="5" fillId="19" borderId="1" xfId="1" applyNumberFormat="1" applyFont="1" applyFill="1" applyBorder="1" applyAlignment="1">
      <alignment horizontal="left" vertical="top" wrapText="1"/>
    </xf>
    <xf numFmtId="165" fontId="5" fillId="19" borderId="1" xfId="1" applyNumberFormat="1" applyFont="1" applyFill="1" applyBorder="1" applyAlignment="1">
      <alignment horizontal="center" vertical="top" wrapText="1"/>
    </xf>
    <xf numFmtId="166" fontId="5" fillId="19" borderId="1" xfId="1" applyNumberFormat="1" applyFont="1" applyFill="1" applyBorder="1" applyAlignment="1">
      <alignment horizontal="left" vertical="top" wrapText="1"/>
    </xf>
    <xf numFmtId="0" fontId="5" fillId="19" borderId="1" xfId="1" applyFont="1" applyFill="1" applyBorder="1" applyAlignment="1">
      <alignment horizontal="center" vertical="top" wrapText="1"/>
    </xf>
    <xf numFmtId="169" fontId="5" fillId="3" borderId="1" xfId="1" applyNumberFormat="1" applyFont="1" applyFill="1" applyBorder="1" applyAlignment="1">
      <alignment horizontal="center" vertical="top"/>
    </xf>
    <xf numFmtId="1" fontId="6" fillId="0" borderId="1" xfId="1" applyNumberFormat="1" applyFont="1" applyBorder="1" applyAlignment="1" applyProtection="1">
      <alignment horizontal="left" vertical="top" wrapText="1"/>
      <protection locked="0"/>
    </xf>
    <xf numFmtId="20" fontId="6" fillId="0" borderId="1" xfId="1" applyNumberFormat="1" applyFont="1" applyBorder="1" applyAlignment="1">
      <alignment horizontal="left" vertical="top" wrapText="1"/>
    </xf>
    <xf numFmtId="165" fontId="18" fillId="0" borderId="1" xfId="1" quotePrefix="1" applyNumberFormat="1" applyFont="1" applyBorder="1" applyAlignment="1">
      <alignment horizontal="center" vertical="top" wrapText="1"/>
    </xf>
    <xf numFmtId="1" fontId="6" fillId="0" borderId="1" xfId="1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6" fillId="20" borderId="1" xfId="1" applyFont="1" applyFill="1" applyBorder="1" applyAlignment="1" applyProtection="1">
      <alignment horizontal="left" vertical="top" wrapText="1"/>
      <protection locked="0"/>
    </xf>
    <xf numFmtId="0" fontId="6" fillId="20" borderId="1" xfId="1" applyFont="1" applyFill="1" applyBorder="1" applyAlignment="1">
      <alignment horizontal="left" vertical="top" wrapText="1"/>
    </xf>
    <xf numFmtId="20" fontId="18" fillId="0" borderId="1" xfId="1" applyNumberFormat="1" applyFont="1" applyBorder="1" applyAlignment="1">
      <alignment horizontal="left" vertical="top" wrapText="1"/>
    </xf>
    <xf numFmtId="165" fontId="18" fillId="0" borderId="1" xfId="1" applyNumberFormat="1" applyFont="1" applyBorder="1" applyAlignment="1">
      <alignment horizontal="left" vertical="top" wrapText="1"/>
    </xf>
    <xf numFmtId="166" fontId="18" fillId="0" borderId="1" xfId="1" applyNumberFormat="1" applyFont="1" applyBorder="1" applyAlignment="1">
      <alignment horizontal="left" vertical="top" wrapText="1"/>
    </xf>
    <xf numFmtId="0" fontId="10" fillId="0" borderId="0" xfId="2" applyAlignment="1">
      <alignment vertical="top"/>
    </xf>
    <xf numFmtId="20" fontId="20" fillId="0" borderId="1" xfId="1" applyNumberFormat="1" applyFont="1" applyBorder="1" applyAlignment="1">
      <alignment horizontal="left" vertical="top" wrapText="1"/>
    </xf>
    <xf numFmtId="165" fontId="20" fillId="0" borderId="1" xfId="1" applyNumberFormat="1" applyFont="1" applyBorder="1" applyAlignment="1">
      <alignment horizontal="left" vertical="top" wrapText="1"/>
    </xf>
    <xf numFmtId="165" fontId="20" fillId="0" borderId="1" xfId="1" quotePrefix="1" applyNumberFormat="1" applyFont="1" applyBorder="1" applyAlignment="1">
      <alignment horizontal="center" vertical="top" wrapText="1"/>
    </xf>
    <xf numFmtId="166" fontId="20" fillId="0" borderId="1" xfId="1" applyNumberFormat="1" applyFont="1" applyBorder="1" applyAlignment="1">
      <alignment horizontal="left" vertical="top" wrapText="1"/>
    </xf>
    <xf numFmtId="165" fontId="6" fillId="0" borderId="1" xfId="1" applyNumberFormat="1" applyFont="1" applyBorder="1" applyAlignment="1">
      <alignment horizontal="left" vertical="top" wrapText="1" indent="1"/>
    </xf>
    <xf numFmtId="165" fontId="6" fillId="0" borderId="1" xfId="1" quotePrefix="1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165" fontId="20" fillId="0" borderId="1" xfId="1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6" fillId="21" borderId="1" xfId="1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170" fontId="6" fillId="0" borderId="1" xfId="1" applyNumberFormat="1" applyFont="1" applyBorder="1" applyAlignment="1">
      <alignment horizontal="center" vertical="top" wrapText="1"/>
    </xf>
    <xf numFmtId="165" fontId="6" fillId="0" borderId="5" xfId="1" quotePrefix="1" applyNumberFormat="1" applyFont="1" applyBorder="1" applyAlignment="1">
      <alignment horizontal="center" vertical="top" wrapText="1"/>
    </xf>
    <xf numFmtId="166" fontId="6" fillId="0" borderId="5" xfId="1" applyNumberFormat="1" applyFont="1" applyBorder="1" applyAlignment="1">
      <alignment horizontal="left" vertical="top" wrapText="1"/>
    </xf>
    <xf numFmtId="0" fontId="6" fillId="0" borderId="5" xfId="1" applyFont="1" applyBorder="1" applyAlignment="1">
      <alignment horizontal="center" vertical="top" wrapText="1"/>
    </xf>
    <xf numFmtId="0" fontId="12" fillId="0" borderId="5" xfId="0" applyFont="1" applyBorder="1" applyAlignment="1">
      <alignment horizontal="left" vertical="top" wrapText="1"/>
    </xf>
    <xf numFmtId="0" fontId="5" fillId="19" borderId="6" xfId="1" applyFont="1" applyFill="1" applyBorder="1" applyAlignment="1">
      <alignment horizontal="left" vertical="top" wrapText="1"/>
    </xf>
    <xf numFmtId="165" fontId="6" fillId="0" borderId="1" xfId="1" applyNumberFormat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1" fontId="5" fillId="19" borderId="1" xfId="1" applyNumberFormat="1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6" fillId="7" borderId="1" xfId="1" applyFont="1" applyFill="1" applyBorder="1" applyAlignment="1">
      <alignment horizontal="left" vertical="top" wrapText="1"/>
    </xf>
    <xf numFmtId="20" fontId="6" fillId="19" borderId="1" xfId="1" applyNumberFormat="1" applyFont="1" applyFill="1" applyBorder="1" applyAlignment="1">
      <alignment horizontal="left" vertical="top" wrapText="1"/>
    </xf>
    <xf numFmtId="165" fontId="6" fillId="19" borderId="1" xfId="1" applyNumberFormat="1" applyFont="1" applyFill="1" applyBorder="1" applyAlignment="1">
      <alignment horizontal="left" vertical="top" wrapText="1"/>
    </xf>
    <xf numFmtId="165" fontId="6" fillId="19" borderId="1" xfId="1" applyNumberFormat="1" applyFont="1" applyFill="1" applyBorder="1" applyAlignment="1">
      <alignment horizontal="center" vertical="top" wrapText="1"/>
    </xf>
    <xf numFmtId="166" fontId="6" fillId="19" borderId="1" xfId="1" applyNumberFormat="1" applyFont="1" applyFill="1" applyBorder="1" applyAlignment="1">
      <alignment horizontal="left" vertical="top" wrapText="1"/>
    </xf>
    <xf numFmtId="169" fontId="6" fillId="3" borderId="1" xfId="1" applyNumberFormat="1" applyFont="1" applyFill="1" applyBorder="1" applyAlignment="1">
      <alignment horizontal="center" vertical="top"/>
    </xf>
    <xf numFmtId="1" fontId="6" fillId="0" borderId="1" xfId="1" applyNumberFormat="1" applyFont="1" applyBorder="1" applyAlignment="1">
      <alignment horizontal="center" vertical="top" wrapText="1"/>
    </xf>
    <xf numFmtId="1" fontId="12" fillId="14" borderId="0" xfId="0" applyNumberFormat="1" applyFont="1" applyFill="1" applyAlignment="1">
      <alignment horizontal="left" vertical="top"/>
    </xf>
    <xf numFmtId="166" fontId="12" fillId="0" borderId="0" xfId="0" applyNumberFormat="1" applyFont="1" applyAlignment="1">
      <alignment horizontal="left" vertical="top"/>
    </xf>
    <xf numFmtId="166" fontId="12" fillId="14" borderId="0" xfId="0" applyNumberFormat="1" applyFont="1" applyFill="1" applyAlignment="1">
      <alignment horizontal="left" vertical="top"/>
    </xf>
    <xf numFmtId="0" fontId="5" fillId="22" borderId="1" xfId="1" applyFont="1" applyFill="1" applyBorder="1" applyAlignment="1">
      <alignment horizontal="left" vertical="top" wrapText="1"/>
    </xf>
    <xf numFmtId="165" fontId="5" fillId="22" borderId="1" xfId="1" applyNumberFormat="1" applyFont="1" applyFill="1" applyBorder="1" applyAlignment="1">
      <alignment horizontal="left" vertical="top" wrapText="1"/>
    </xf>
    <xf numFmtId="164" fontId="5" fillId="22" borderId="1" xfId="1" applyNumberFormat="1" applyFont="1" applyFill="1" applyBorder="1" applyAlignment="1">
      <alignment horizontal="left" vertical="top" wrapText="1"/>
    </xf>
    <xf numFmtId="165" fontId="5" fillId="22" borderId="1" xfId="1" applyNumberFormat="1" applyFont="1" applyFill="1" applyBorder="1" applyAlignment="1">
      <alignment horizontal="center" vertical="top" wrapText="1"/>
    </xf>
    <xf numFmtId="1" fontId="5" fillId="14" borderId="1" xfId="1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1" fillId="19" borderId="1" xfId="1" applyFont="1" applyFill="1" applyBorder="1" applyAlignment="1">
      <alignment horizontal="left" vertical="top" wrapText="1"/>
    </xf>
    <xf numFmtId="0" fontId="19" fillId="0" borderId="1" xfId="1" applyFont="1" applyBorder="1" applyAlignment="1">
      <alignment horizontal="left" vertical="top" wrapText="1"/>
    </xf>
    <xf numFmtId="0" fontId="19" fillId="0" borderId="2" xfId="1" applyFont="1" applyBorder="1" applyAlignment="1">
      <alignment horizontal="left" vertical="top" wrapText="1"/>
    </xf>
    <xf numFmtId="165" fontId="22" fillId="0" borderId="3" xfId="1" applyNumberFormat="1" applyFont="1" applyBorder="1" applyAlignment="1">
      <alignment horizontal="left" vertical="top" wrapText="1"/>
    </xf>
    <xf numFmtId="20" fontId="6" fillId="0" borderId="3" xfId="1" applyNumberFormat="1" applyFont="1" applyBorder="1" applyAlignment="1">
      <alignment horizontal="left" vertical="top" wrapText="1"/>
    </xf>
    <xf numFmtId="165" fontId="6" fillId="0" borderId="3" xfId="1" applyNumberFormat="1" applyFont="1" applyBorder="1" applyAlignment="1">
      <alignment horizontal="left" vertical="top" wrapText="1"/>
    </xf>
    <xf numFmtId="165" fontId="6" fillId="0" borderId="3" xfId="1" applyNumberFormat="1" applyFont="1" applyBorder="1" applyAlignment="1">
      <alignment horizontal="center" vertical="top" wrapText="1"/>
    </xf>
    <xf numFmtId="0" fontId="6" fillId="0" borderId="3" xfId="1" applyFont="1" applyBorder="1" applyAlignment="1">
      <alignment horizontal="center" vertical="top" wrapText="1"/>
    </xf>
    <xf numFmtId="0" fontId="12" fillId="0" borderId="4" xfId="0" applyFont="1" applyBorder="1" applyAlignment="1">
      <alignment horizontal="left" vertical="top" wrapText="1"/>
    </xf>
    <xf numFmtId="0" fontId="12" fillId="14" borderId="0" xfId="0" applyFont="1" applyFill="1" applyAlignment="1">
      <alignment horizontal="left" vertical="top"/>
    </xf>
    <xf numFmtId="166" fontId="23" fillId="17" borderId="1" xfId="1" applyNumberFormat="1" applyFont="1" applyFill="1" applyBorder="1" applyAlignment="1">
      <alignment horizontal="left" vertical="center" wrapText="1"/>
    </xf>
    <xf numFmtId="0" fontId="16" fillId="17" borderId="7" xfId="1" applyFont="1" applyFill="1" applyBorder="1" applyAlignment="1">
      <alignment horizontal="left" vertical="center" wrapText="1"/>
    </xf>
    <xf numFmtId="166" fontId="16" fillId="17" borderId="3" xfId="1" applyNumberFormat="1" applyFont="1" applyFill="1" applyBorder="1" applyAlignment="1">
      <alignment horizontal="left" vertical="center" wrapText="1"/>
    </xf>
    <xf numFmtId="165" fontId="6" fillId="0" borderId="2" xfId="1" applyNumberFormat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168" fontId="6" fillId="0" borderId="1" xfId="1" applyNumberFormat="1" applyFont="1" applyBorder="1" applyAlignment="1">
      <alignment horizontal="center" vertical="center" wrapText="1"/>
    </xf>
    <xf numFmtId="166" fontId="12" fillId="0" borderId="5" xfId="0" applyNumberFormat="1" applyFont="1" applyBorder="1" applyAlignment="1">
      <alignment horizontal="left" vertical="top"/>
    </xf>
    <xf numFmtId="0" fontId="6" fillId="0" borderId="9" xfId="1" applyFont="1" applyBorder="1" applyAlignment="1">
      <alignment horizontal="left" vertical="center" wrapText="1"/>
    </xf>
    <xf numFmtId="165" fontId="6" fillId="0" borderId="1" xfId="1" applyNumberFormat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24" fillId="0" borderId="1" xfId="2" applyFont="1" applyBorder="1" applyAlignment="1">
      <alignment horizontal="left" vertical="top"/>
    </xf>
    <xf numFmtId="0" fontId="19" fillId="0" borderId="1" xfId="0" applyFont="1" applyBorder="1" applyAlignment="1">
      <alignment vertical="center" wrapText="1"/>
    </xf>
    <xf numFmtId="165" fontId="0" fillId="0" borderId="1" xfId="0" applyNumberFormat="1" applyBorder="1" applyAlignment="1">
      <alignment horizontal="center" vertical="center"/>
    </xf>
    <xf numFmtId="166" fontId="10" fillId="0" borderId="1" xfId="2" applyNumberFormat="1" applyBorder="1" applyAlignment="1">
      <alignment horizontal="left" vertical="top"/>
    </xf>
    <xf numFmtId="166" fontId="6" fillId="3" borderId="1" xfId="1" applyNumberFormat="1" applyFont="1" applyFill="1" applyBorder="1" applyAlignment="1" applyProtection="1">
      <alignment horizontal="left" vertical="top" wrapText="1"/>
      <protection locked="0"/>
    </xf>
    <xf numFmtId="0" fontId="6" fillId="3" borderId="1" xfId="1" applyFont="1" applyFill="1" applyBorder="1" applyAlignment="1">
      <alignment horizontal="left" vertical="top" wrapText="1"/>
    </xf>
    <xf numFmtId="20" fontId="5" fillId="0" borderId="1" xfId="1" applyNumberFormat="1" applyFont="1" applyBorder="1" applyAlignment="1">
      <alignment horizontal="left" vertical="top" wrapText="1"/>
    </xf>
    <xf numFmtId="165" fontId="5" fillId="0" borderId="1" xfId="1" applyNumberFormat="1" applyFont="1" applyBorder="1" applyAlignment="1">
      <alignment horizontal="left" vertical="top" wrapText="1"/>
    </xf>
    <xf numFmtId="166" fontId="5" fillId="0" borderId="1" xfId="1" applyNumberFormat="1" applyFont="1" applyBorder="1" applyAlignment="1">
      <alignment horizontal="left" vertical="top" wrapText="1"/>
    </xf>
    <xf numFmtId="16" fontId="6" fillId="0" borderId="1" xfId="1" applyNumberFormat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165" fontId="6" fillId="0" borderId="4" xfId="1" applyNumberFormat="1" applyFont="1" applyBorder="1" applyAlignment="1">
      <alignment horizontal="left" vertical="top" wrapText="1"/>
    </xf>
    <xf numFmtId="165" fontId="6" fillId="0" borderId="2" xfId="1" quotePrefix="1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top" wrapText="1"/>
    </xf>
    <xf numFmtId="16" fontId="6" fillId="23" borderId="1" xfId="1" applyNumberFormat="1" applyFont="1" applyFill="1" applyBorder="1" applyAlignment="1">
      <alignment horizontal="left" vertical="top" wrapText="1"/>
    </xf>
    <xf numFmtId="168" fontId="6" fillId="23" borderId="1" xfId="1" applyNumberFormat="1" applyFont="1" applyFill="1" applyBorder="1" applyAlignment="1">
      <alignment horizontal="center" vertical="top" wrapText="1"/>
    </xf>
    <xf numFmtId="166" fontId="6" fillId="23" borderId="1" xfId="1" applyNumberFormat="1" applyFont="1" applyFill="1" applyBorder="1" applyAlignment="1" applyProtection="1">
      <alignment horizontal="left" vertical="top" wrapText="1"/>
      <protection locked="0"/>
    </xf>
    <xf numFmtId="165" fontId="6" fillId="23" borderId="1" xfId="1" applyNumberFormat="1" applyFont="1" applyFill="1" applyBorder="1" applyAlignment="1">
      <alignment horizontal="left" vertical="top" wrapText="1"/>
    </xf>
    <xf numFmtId="20" fontId="6" fillId="23" borderId="1" xfId="1" applyNumberFormat="1" applyFont="1" applyFill="1" applyBorder="1" applyAlignment="1">
      <alignment horizontal="left" vertical="top" wrapText="1"/>
    </xf>
    <xf numFmtId="165" fontId="6" fillId="23" borderId="1" xfId="1" quotePrefix="1" applyNumberFormat="1" applyFont="1" applyFill="1" applyBorder="1" applyAlignment="1">
      <alignment horizontal="center" vertical="top" wrapText="1"/>
    </xf>
    <xf numFmtId="166" fontId="6" fillId="23" borderId="1" xfId="1" applyNumberFormat="1" applyFont="1" applyFill="1" applyBorder="1" applyAlignment="1">
      <alignment horizontal="left" vertical="top" wrapText="1"/>
    </xf>
    <xf numFmtId="0" fontId="6" fillId="23" borderId="1" xfId="1" applyFont="1" applyFill="1" applyBorder="1" applyAlignment="1">
      <alignment horizontal="center" vertical="top" wrapText="1"/>
    </xf>
    <xf numFmtId="0" fontId="6" fillId="23" borderId="6" xfId="0" applyFont="1" applyFill="1" applyBorder="1" applyAlignment="1">
      <alignment horizontal="left" vertical="top" wrapText="1"/>
    </xf>
    <xf numFmtId="0" fontId="0" fillId="23" borderId="0" xfId="0" applyFill="1"/>
    <xf numFmtId="165" fontId="6" fillId="23" borderId="1" xfId="1" applyNumberFormat="1" applyFont="1" applyFill="1" applyBorder="1" applyAlignment="1">
      <alignment horizontal="left" vertical="top" wrapText="1" indent="1"/>
    </xf>
    <xf numFmtId="20" fontId="5" fillId="23" borderId="1" xfId="1" applyNumberFormat="1" applyFont="1" applyFill="1" applyBorder="1" applyAlignment="1">
      <alignment horizontal="left" vertical="top" wrapText="1"/>
    </xf>
    <xf numFmtId="165" fontId="5" fillId="23" borderId="1" xfId="1" applyNumberFormat="1" applyFont="1" applyFill="1" applyBorder="1" applyAlignment="1">
      <alignment horizontal="left" vertical="top" wrapText="1"/>
    </xf>
    <xf numFmtId="165" fontId="5" fillId="23" borderId="1" xfId="1" applyNumberFormat="1" applyFont="1" applyFill="1" applyBorder="1" applyAlignment="1">
      <alignment horizontal="center" vertical="top" wrapText="1"/>
    </xf>
    <xf numFmtId="166" fontId="5" fillId="23" borderId="1" xfId="1" applyNumberFormat="1" applyFont="1" applyFill="1" applyBorder="1" applyAlignment="1">
      <alignment horizontal="left" vertical="top" wrapText="1"/>
    </xf>
    <xf numFmtId="165" fontId="5" fillId="0" borderId="1" xfId="1" applyNumberFormat="1" applyFont="1" applyBorder="1" applyAlignment="1">
      <alignment horizontal="center" vertical="top" wrapText="1"/>
    </xf>
    <xf numFmtId="0" fontId="10" fillId="0" borderId="8" xfId="2" applyBorder="1" applyAlignment="1">
      <alignment vertical="top" wrapText="1"/>
    </xf>
    <xf numFmtId="0" fontId="24" fillId="0" borderId="5" xfId="2" applyFont="1" applyBorder="1" applyAlignment="1">
      <alignment vertical="top" wrapText="1"/>
    </xf>
    <xf numFmtId="0" fontId="5" fillId="19" borderId="10" xfId="1" applyFont="1" applyFill="1" applyBorder="1" applyAlignment="1">
      <alignment horizontal="center" vertical="top" wrapText="1"/>
    </xf>
    <xf numFmtId="164" fontId="5" fillId="22" borderId="1" xfId="1" applyNumberFormat="1" applyFont="1" applyFill="1" applyBorder="1" applyAlignment="1">
      <alignment horizontal="center" vertical="top" wrapText="1"/>
    </xf>
    <xf numFmtId="165" fontId="5" fillId="19" borderId="2" xfId="1" applyNumberFormat="1" applyFont="1" applyFill="1" applyBorder="1" applyAlignment="1">
      <alignment horizontal="center" vertical="top" wrapText="1"/>
    </xf>
    <xf numFmtId="166" fontId="6" fillId="19" borderId="5" xfId="1" applyNumberFormat="1" applyFont="1" applyFill="1" applyBorder="1" applyAlignment="1">
      <alignment horizontal="left" vertical="top" wrapText="1"/>
    </xf>
    <xf numFmtId="0" fontId="5" fillId="19" borderId="4" xfId="1" applyFont="1" applyFill="1" applyBorder="1" applyAlignment="1">
      <alignment horizontal="center" vertical="top" wrapText="1"/>
    </xf>
    <xf numFmtId="167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66" fontId="0" fillId="0" borderId="0" xfId="0" applyNumberFormat="1" applyAlignment="1">
      <alignment horizontal="left"/>
    </xf>
    <xf numFmtId="165" fontId="0" fillId="0" borderId="0" xfId="0" applyNumberFormat="1" applyAlignment="1">
      <alignment wrapText="1"/>
    </xf>
    <xf numFmtId="0" fontId="12" fillId="0" borderId="0" xfId="0" applyFont="1" applyAlignment="1">
      <alignment horizontal="left" vertical="top"/>
    </xf>
    <xf numFmtId="165" fontId="12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24" borderId="1" xfId="1" applyFont="1" applyFill="1" applyBorder="1" applyAlignment="1">
      <alignment horizontal="center" vertical="top" wrapText="1"/>
    </xf>
    <xf numFmtId="165" fontId="6" fillId="0" borderId="0" xfId="1" applyNumberFormat="1" applyFont="1" applyAlignment="1">
      <alignment horizontal="left" vertical="top" wrapText="1"/>
    </xf>
    <xf numFmtId="1" fontId="6" fillId="0" borderId="0" xfId="1" applyNumberFormat="1" applyFont="1" applyAlignment="1">
      <alignment horizontal="left" vertical="top" wrapText="1"/>
    </xf>
    <xf numFmtId="0" fontId="6" fillId="0" borderId="0" xfId="1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20" fontId="20" fillId="0" borderId="0" xfId="1" applyNumberFormat="1" applyFont="1" applyAlignment="1">
      <alignment horizontal="left" vertical="top" wrapText="1"/>
    </xf>
    <xf numFmtId="165" fontId="20" fillId="0" borderId="0" xfId="1" applyNumberFormat="1" applyFont="1" applyAlignment="1">
      <alignment horizontal="left" vertical="top" wrapText="1"/>
    </xf>
    <xf numFmtId="165" fontId="20" fillId="0" borderId="0" xfId="1" quotePrefix="1" applyNumberFormat="1" applyFont="1" applyAlignment="1">
      <alignment horizontal="center" vertical="top" wrapText="1"/>
    </xf>
    <xf numFmtId="165" fontId="20" fillId="0" borderId="0" xfId="1" applyNumberFormat="1" applyFont="1" applyAlignment="1">
      <alignment horizontal="center" vertical="top" wrapText="1"/>
    </xf>
    <xf numFmtId="0" fontId="12" fillId="3" borderId="0" xfId="0" applyFont="1" applyFill="1" applyAlignment="1">
      <alignment horizontal="left" vertical="top" wrapText="1"/>
    </xf>
    <xf numFmtId="0" fontId="25" fillId="0" borderId="0" xfId="0" applyFont="1"/>
    <xf numFmtId="0" fontId="6" fillId="25" borderId="1" xfId="1" applyFont="1" applyFill="1" applyBorder="1" applyAlignment="1">
      <alignment horizontal="left" vertical="top" wrapText="1"/>
    </xf>
    <xf numFmtId="169" fontId="5" fillId="18" borderId="1" xfId="1" applyNumberFormat="1" applyFont="1" applyFill="1" applyBorder="1" applyAlignment="1">
      <alignment horizontal="center" vertical="top"/>
    </xf>
    <xf numFmtId="1" fontId="5" fillId="18" borderId="1" xfId="1" applyNumberFormat="1" applyFont="1" applyFill="1" applyBorder="1" applyAlignment="1">
      <alignment horizontal="left" vertical="top" wrapText="1"/>
    </xf>
    <xf numFmtId="0" fontId="26" fillId="18" borderId="1" xfId="1" applyFont="1" applyFill="1" applyBorder="1" applyAlignment="1">
      <alignment horizontal="left" vertical="top" wrapText="1"/>
    </xf>
    <xf numFmtId="171" fontId="5" fillId="3" borderId="1" xfId="1" applyNumberFormat="1" applyFont="1" applyFill="1" applyBorder="1" applyAlignment="1">
      <alignment horizontal="center" vertical="top"/>
    </xf>
    <xf numFmtId="1" fontId="27" fillId="0" borderId="1" xfId="2" applyNumberFormat="1" applyFont="1" applyBorder="1" applyAlignment="1">
      <alignment horizontal="left" vertical="top"/>
    </xf>
    <xf numFmtId="165" fontId="20" fillId="0" borderId="2" xfId="1" applyNumberFormat="1" applyFont="1" applyBorder="1" applyAlignment="1">
      <alignment horizontal="left" vertical="top" wrapText="1"/>
    </xf>
    <xf numFmtId="166" fontId="20" fillId="0" borderId="4" xfId="1" applyNumberFormat="1" applyFont="1" applyBorder="1" applyAlignment="1">
      <alignment horizontal="left" vertical="top" wrapText="1"/>
    </xf>
    <xf numFmtId="165" fontId="18" fillId="0" borderId="6" xfId="1" quotePrefix="1" applyNumberFormat="1" applyFont="1" applyBorder="1" applyAlignment="1">
      <alignment horizontal="center" vertical="top" wrapText="1"/>
    </xf>
    <xf numFmtId="165" fontId="18" fillId="0" borderId="10" xfId="1" quotePrefix="1" applyNumberFormat="1" applyFont="1" applyBorder="1" applyAlignment="1">
      <alignment horizontal="center" vertical="top" wrapText="1"/>
    </xf>
    <xf numFmtId="0" fontId="29" fillId="0" borderId="0" xfId="0" applyFont="1" applyAlignment="1">
      <alignment horizontal="left" vertical="top" wrapText="1"/>
    </xf>
    <xf numFmtId="0" fontId="30" fillId="0" borderId="0" xfId="2" applyFont="1"/>
    <xf numFmtId="0" fontId="31" fillId="0" borderId="0" xfId="0" applyFont="1" applyAlignment="1">
      <alignment wrapText="1"/>
    </xf>
    <xf numFmtId="0" fontId="31" fillId="0" borderId="0" xfId="0" applyFont="1"/>
    <xf numFmtId="0" fontId="31" fillId="0" borderId="11" xfId="0" applyFont="1" applyBorder="1" applyAlignment="1">
      <alignment wrapText="1"/>
    </xf>
    <xf numFmtId="0" fontId="9" fillId="0" borderId="0" xfId="0" applyFont="1"/>
    <xf numFmtId="0" fontId="9" fillId="15" borderId="0" xfId="0" applyFont="1" applyFill="1"/>
    <xf numFmtId="0" fontId="32" fillId="26" borderId="1" xfId="0" applyFont="1" applyFill="1" applyBorder="1" applyAlignment="1">
      <alignment vertical="center"/>
    </xf>
    <xf numFmtId="0" fontId="32" fillId="2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9" fillId="3" borderId="0" xfId="0" applyFont="1" applyFill="1"/>
    <xf numFmtId="0" fontId="9" fillId="14" borderId="0" xfId="0" applyFont="1" applyFill="1"/>
    <xf numFmtId="0" fontId="33" fillId="27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4" fillId="0" borderId="1" xfId="0" applyFont="1" applyBorder="1" applyAlignment="1">
      <alignment horizontal="left" vertical="top"/>
    </xf>
    <xf numFmtId="0" fontId="33" fillId="0" borderId="1" xfId="0" applyFont="1" applyBorder="1" applyAlignment="1">
      <alignment horizontal="left" vertical="top" wrapText="1"/>
    </xf>
    <xf numFmtId="0" fontId="32" fillId="26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3" fillId="8" borderId="1" xfId="0" applyFont="1" applyFill="1" applyBorder="1" applyAlignment="1">
      <alignment horizontal="left" vertical="top" wrapText="1"/>
    </xf>
    <xf numFmtId="0" fontId="9" fillId="0" borderId="4" xfId="0" applyFont="1" applyBorder="1"/>
    <xf numFmtId="0" fontId="9" fillId="0" borderId="1" xfId="0" applyFont="1" applyBorder="1" applyAlignment="1">
      <alignment horizontal="left" vertical="top"/>
    </xf>
    <xf numFmtId="0" fontId="35" fillId="8" borderId="0" xfId="0" applyFont="1" applyFill="1" applyAlignment="1">
      <alignment vertical="center" wrapText="1"/>
    </xf>
    <xf numFmtId="0" fontId="36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/>
    </xf>
    <xf numFmtId="0" fontId="24" fillId="0" borderId="0" xfId="0" applyFont="1" applyAlignment="1">
      <alignment vertical="top"/>
    </xf>
    <xf numFmtId="0" fontId="36" fillId="0" borderId="6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5" xfId="0" applyBorder="1"/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8" fillId="0" borderId="0" xfId="0" applyFont="1" applyAlignment="1">
      <alignment vertical="center"/>
    </xf>
    <xf numFmtId="0" fontId="3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3" fillId="3" borderId="5" xfId="0" applyFont="1" applyFill="1" applyBorder="1" applyAlignment="1">
      <alignment horizontal="left" vertical="top" wrapText="1"/>
    </xf>
    <xf numFmtId="0" fontId="34" fillId="3" borderId="1" xfId="0" applyFont="1" applyFill="1" applyBorder="1" applyAlignment="1">
      <alignment horizontal="left" vertical="top"/>
    </xf>
    <xf numFmtId="0" fontId="0" fillId="3" borderId="0" xfId="0" applyFill="1"/>
    <xf numFmtId="0" fontId="33" fillId="0" borderId="5" xfId="0" applyFont="1" applyBorder="1" applyAlignment="1">
      <alignment horizontal="left" vertical="top" wrapText="1"/>
    </xf>
    <xf numFmtId="0" fontId="36" fillId="0" borderId="5" xfId="0" applyFont="1" applyBorder="1"/>
    <xf numFmtId="0" fontId="3" fillId="0" borderId="5" xfId="0" applyFont="1" applyBorder="1" applyAlignment="1">
      <alignment horizontal="left" vertical="top" wrapText="1"/>
    </xf>
    <xf numFmtId="0" fontId="33" fillId="3" borderId="6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4" fillId="3" borderId="0" xfId="0" applyFont="1" applyFill="1" applyAlignment="1">
      <alignment horizontal="left" vertical="top"/>
    </xf>
    <xf numFmtId="0" fontId="33" fillId="3" borderId="0" xfId="0" applyFont="1" applyFill="1" applyAlignment="1">
      <alignment horizontal="left" vertical="top" wrapText="1"/>
    </xf>
    <xf numFmtId="0" fontId="33" fillId="0" borderId="13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/>
    </xf>
    <xf numFmtId="0" fontId="10" fillId="0" borderId="5" xfId="2" applyBorder="1"/>
    <xf numFmtId="0" fontId="33" fillId="0" borderId="5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top"/>
    </xf>
    <xf numFmtId="0" fontId="34" fillId="0" borderId="5" xfId="0" applyFont="1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0" xfId="0" applyAlignment="1">
      <alignment horizontal="center"/>
    </xf>
    <xf numFmtId="0" fontId="33" fillId="0" borderId="11" xfId="0" applyFont="1" applyBorder="1" applyAlignment="1">
      <alignment vertical="top" wrapText="1"/>
    </xf>
    <xf numFmtId="0" fontId="0" fillId="0" borderId="11" xfId="0" applyBorder="1" applyAlignment="1">
      <alignment wrapText="1"/>
    </xf>
    <xf numFmtId="172" fontId="3" fillId="8" borderId="1" xfId="0" applyNumberFormat="1" applyFont="1" applyFill="1" applyBorder="1" applyAlignment="1">
      <alignment horizontal="left" vertical="top" wrapText="1"/>
    </xf>
    <xf numFmtId="172" fontId="3" fillId="0" borderId="1" xfId="0" applyNumberFormat="1" applyFont="1" applyBorder="1" applyAlignment="1">
      <alignment horizontal="left" vertical="top" wrapText="1"/>
    </xf>
    <xf numFmtId="172" fontId="33" fillId="27" borderId="1" xfId="0" applyNumberFormat="1" applyFont="1" applyFill="1" applyBorder="1" applyAlignment="1">
      <alignment horizontal="left" vertical="top" wrapText="1"/>
    </xf>
    <xf numFmtId="0" fontId="6" fillId="28" borderId="1" xfId="1" applyFont="1" applyFill="1" applyBorder="1" applyAlignment="1">
      <alignment horizontal="center" vertical="top" wrapText="1"/>
    </xf>
    <xf numFmtId="20" fontId="6" fillId="28" borderId="3" xfId="1" applyNumberFormat="1" applyFont="1" applyFill="1" applyBorder="1" applyAlignment="1">
      <alignment horizontal="left" vertical="top" wrapText="1"/>
    </xf>
    <xf numFmtId="0" fontId="10" fillId="0" borderId="1" xfId="2" applyNumberFormat="1" applyBorder="1" applyAlignment="1">
      <alignment horizontal="left" vertical="top"/>
    </xf>
    <xf numFmtId="0" fontId="39" fillId="28" borderId="1" xfId="1" applyFont="1" applyFill="1" applyBorder="1" applyAlignment="1">
      <alignment horizontal="center" vertical="top" wrapText="1"/>
    </xf>
    <xf numFmtId="0" fontId="6" fillId="28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top" wrapText="1"/>
    </xf>
    <xf numFmtId="169" fontId="40" fillId="3" borderId="1" xfId="1" applyNumberFormat="1" applyFont="1" applyFill="1" applyBorder="1" applyAlignment="1">
      <alignment horizontal="center" vertical="top"/>
    </xf>
    <xf numFmtId="169" fontId="41" fillId="3" borderId="1" xfId="1" applyNumberFormat="1" applyFont="1" applyFill="1" applyBorder="1" applyAlignment="1">
      <alignment horizontal="center" vertical="top"/>
    </xf>
    <xf numFmtId="0" fontId="39" fillId="28" borderId="1" xfId="1" applyFont="1" applyFill="1" applyBorder="1" applyAlignment="1">
      <alignment horizontal="center" vertical="center" wrapText="1"/>
    </xf>
    <xf numFmtId="0" fontId="39" fillId="0" borderId="1" xfId="1" applyFont="1" applyBorder="1" applyAlignment="1">
      <alignment horizontal="center" vertical="top" wrapText="1"/>
    </xf>
    <xf numFmtId="169" fontId="39" fillId="3" borderId="1" xfId="1" applyNumberFormat="1" applyFont="1" applyFill="1" applyBorder="1" applyAlignment="1">
      <alignment horizontal="center" vertical="top"/>
    </xf>
    <xf numFmtId="172" fontId="3" fillId="8" borderId="1" xfId="0" applyNumberFormat="1" applyFont="1" applyFill="1" applyBorder="1" applyAlignment="1">
      <alignment horizontal="left" vertical="top"/>
    </xf>
    <xf numFmtId="20" fontId="34" fillId="0" borderId="1" xfId="0" applyNumberFormat="1" applyFont="1" applyBorder="1" applyAlignment="1">
      <alignment horizontal="left" vertical="top"/>
    </xf>
    <xf numFmtId="169" fontId="43" fillId="3" borderId="1" xfId="1" applyNumberFormat="1" applyFont="1" applyFill="1" applyBorder="1" applyAlignment="1">
      <alignment horizontal="center" vertical="top"/>
    </xf>
    <xf numFmtId="169" fontId="42" fillId="19" borderId="1" xfId="1" applyNumberFormat="1" applyFont="1" applyFill="1" applyBorder="1" applyAlignment="1">
      <alignment horizontal="center" vertical="top"/>
    </xf>
    <xf numFmtId="169" fontId="5" fillId="28" borderId="1" xfId="1" applyNumberFormat="1" applyFont="1" applyFill="1" applyBorder="1" applyAlignment="1">
      <alignment horizontal="center" vertical="top"/>
    </xf>
    <xf numFmtId="0" fontId="16" fillId="17" borderId="2" xfId="1" applyFont="1" applyFill="1" applyBorder="1" applyAlignment="1">
      <alignment horizontal="left" vertical="center" wrapText="1"/>
    </xf>
    <xf numFmtId="0" fontId="16" fillId="17" borderId="3" xfId="1" applyFont="1" applyFill="1" applyBorder="1" applyAlignment="1">
      <alignment horizontal="left" vertical="center" wrapText="1"/>
    </xf>
    <xf numFmtId="0" fontId="16" fillId="17" borderId="4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top" wrapText="1"/>
    </xf>
    <xf numFmtId="0" fontId="6" fillId="0" borderId="3" xfId="1" applyFont="1" applyBorder="1" applyAlignment="1">
      <alignment horizontal="left" vertical="top" wrapText="1"/>
    </xf>
    <xf numFmtId="0" fontId="6" fillId="0" borderId="4" xfId="1" applyFont="1" applyBorder="1" applyAlignment="1">
      <alignment horizontal="left" vertical="top" wrapText="1"/>
    </xf>
    <xf numFmtId="164" fontId="4" fillId="2" borderId="1" xfId="1" applyNumberFormat="1" applyFont="1" applyFill="1" applyBorder="1" applyAlignment="1">
      <alignment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7" fillId="3" borderId="2" xfId="1" applyFont="1" applyFill="1" applyBorder="1" applyAlignment="1">
      <alignment horizontal="left" vertical="center" wrapText="1"/>
    </xf>
    <xf numFmtId="0" fontId="7" fillId="3" borderId="3" xfId="1" applyFont="1" applyFill="1" applyBorder="1" applyAlignment="1">
      <alignment horizontal="left" vertical="center" wrapText="1"/>
    </xf>
    <xf numFmtId="167" fontId="6" fillId="4" borderId="2" xfId="1" applyNumberFormat="1" applyFont="1" applyFill="1" applyBorder="1" applyAlignment="1">
      <alignment horizontal="center" vertical="top" wrapText="1"/>
    </xf>
    <xf numFmtId="167" fontId="6" fillId="4" borderId="3" xfId="1" applyNumberFormat="1" applyFont="1" applyFill="1" applyBorder="1" applyAlignment="1">
      <alignment horizontal="center" vertical="top" wrapText="1"/>
    </xf>
    <xf numFmtId="167" fontId="6" fillId="4" borderId="4" xfId="1" applyNumberFormat="1" applyFont="1" applyFill="1" applyBorder="1" applyAlignment="1">
      <alignment horizontal="center" vertical="top" wrapText="1"/>
    </xf>
    <xf numFmtId="0" fontId="6" fillId="4" borderId="2" xfId="1" applyFont="1" applyFill="1" applyBorder="1" applyAlignment="1">
      <alignment horizontal="center" vertical="top" wrapText="1"/>
    </xf>
    <xf numFmtId="0" fontId="6" fillId="4" borderId="3" xfId="1" applyFont="1" applyFill="1" applyBorder="1" applyAlignment="1">
      <alignment horizontal="center" vertical="top" wrapText="1"/>
    </xf>
    <xf numFmtId="0" fontId="6" fillId="4" borderId="4" xfId="1" applyFont="1" applyFill="1" applyBorder="1" applyAlignment="1">
      <alignment horizontal="center" vertical="top" wrapText="1"/>
    </xf>
    <xf numFmtId="0" fontId="11" fillId="0" borderId="2" xfId="1" applyFont="1" applyBorder="1" applyAlignment="1">
      <alignment horizontal="left" vertical="top" wrapText="1"/>
    </xf>
    <xf numFmtId="0" fontId="11" fillId="0" borderId="3" xfId="1" applyFont="1" applyBorder="1" applyAlignment="1">
      <alignment horizontal="left" vertical="top" wrapText="1"/>
    </xf>
    <xf numFmtId="0" fontId="11" fillId="0" borderId="4" xfId="1" applyFont="1" applyBorder="1" applyAlignment="1">
      <alignment horizontal="left" vertical="top" wrapText="1"/>
    </xf>
    <xf numFmtId="0" fontId="32" fillId="15" borderId="12" xfId="0" applyFont="1" applyFill="1" applyBorder="1" applyAlignment="1">
      <alignment horizontal="left" vertical="center" wrapText="1"/>
    </xf>
    <xf numFmtId="0" fontId="32" fillId="15" borderId="7" xfId="0" applyFont="1" applyFill="1" applyBorder="1" applyAlignment="1">
      <alignment horizontal="left" vertical="center" wrapText="1"/>
    </xf>
    <xf numFmtId="0" fontId="32" fillId="15" borderId="3" xfId="0" applyFont="1" applyFill="1" applyBorder="1" applyAlignment="1">
      <alignment horizontal="left" vertical="center" wrapText="1"/>
    </xf>
    <xf numFmtId="0" fontId="32" fillId="15" borderId="4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32" fillId="15" borderId="2" xfId="0" applyFont="1" applyFill="1" applyBorder="1" applyAlignment="1">
      <alignment horizontal="left" vertical="center" wrapText="1"/>
    </xf>
    <xf numFmtId="14" fontId="25" fillId="0" borderId="5" xfId="0" applyNumberFormat="1" applyFont="1" applyBorder="1"/>
    <xf numFmtId="14" fontId="25" fillId="0" borderId="5" xfId="0" applyNumberFormat="1" applyFont="1" applyBorder="1" applyAlignment="1">
      <alignment wrapText="1"/>
    </xf>
    <xf numFmtId="0" fontId="19" fillId="21" borderId="1" xfId="1" applyFont="1" applyFill="1" applyBorder="1" applyAlignment="1">
      <alignment horizontal="left" vertical="top" wrapText="1"/>
    </xf>
    <xf numFmtId="165" fontId="6" fillId="0" borderId="5" xfId="1" applyNumberFormat="1" applyFont="1" applyBorder="1" applyAlignment="1">
      <alignment horizontal="left" vertical="top" wrapText="1" indent="1"/>
    </xf>
    <xf numFmtId="20" fontId="6" fillId="0" borderId="5" xfId="1" applyNumberFormat="1" applyFont="1" applyBorder="1" applyAlignment="1">
      <alignment horizontal="left" vertical="top" wrapText="1"/>
    </xf>
    <xf numFmtId="165" fontId="6" fillId="0" borderId="5" xfId="1" applyNumberFormat="1" applyFont="1" applyBorder="1" applyAlignment="1">
      <alignment horizontal="left" vertical="top" wrapText="1"/>
    </xf>
    <xf numFmtId="165" fontId="6" fillId="0" borderId="5" xfId="1" applyNumberFormat="1" applyFont="1" applyBorder="1" applyAlignment="1">
      <alignment horizontal="center" vertical="top" wrapText="1"/>
    </xf>
    <xf numFmtId="165" fontId="6" fillId="0" borderId="2" xfId="1" applyNumberFormat="1" applyFont="1" applyBorder="1" applyAlignment="1">
      <alignment horizontal="center" vertical="top" wrapText="1"/>
    </xf>
    <xf numFmtId="0" fontId="19" fillId="23" borderId="1" xfId="1" applyFont="1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Normal 2" xfId="1" xr:uid="{61127080-6B36-475E-9888-C28587155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C:\:x:\r\sites\ts_OnCallSup\_layouts\15\WopiFrame.aspx%3fsourcedoc=%7b5c56b3e8-59f0-40a2-b35a-ab83f7799dc6%7d&amp;action=defau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69B1-3850-4D0D-87B9-EF4D20590A2A}">
  <dimension ref="A1:O110"/>
  <sheetViews>
    <sheetView tabSelected="1" topLeftCell="C78" zoomScale="130" zoomScaleNormal="130" workbookViewId="0">
      <selection activeCell="L96" sqref="L96"/>
    </sheetView>
  </sheetViews>
  <sheetFormatPr defaultRowHeight="14.45"/>
  <cols>
    <col min="1" max="1" width="12.42578125" style="183" bestFit="1" customWidth="1"/>
    <col min="2" max="2" width="9.7109375" style="184" customWidth="1"/>
    <col min="3" max="3" width="11" style="185" bestFit="1" customWidth="1"/>
    <col min="4" max="4" width="44.85546875" style="94" customWidth="1"/>
    <col min="5" max="5" width="9" style="186" customWidth="1"/>
    <col min="6" max="6" width="17.140625" style="187" customWidth="1"/>
    <col min="7" max="7" width="11" style="188" customWidth="1"/>
    <col min="8" max="8" width="13.85546875" style="189" customWidth="1"/>
    <col min="9" max="9" width="13.5703125" style="189" customWidth="1"/>
    <col min="10" max="10" width="17.140625" style="117" customWidth="1"/>
    <col min="11" max="11" width="21" style="190" customWidth="1"/>
    <col min="12" max="12" width="12.85546875" style="191" customWidth="1"/>
    <col min="13" max="13" width="32.42578125" style="108" customWidth="1"/>
    <col min="14" max="14" width="7.42578125" hidden="1" customWidth="1"/>
    <col min="15" max="15" width="31.28515625" customWidth="1"/>
  </cols>
  <sheetData>
    <row r="1" spans="1:15" ht="87.75" customHeight="1">
      <c r="A1" s="292" t="s">
        <v>0</v>
      </c>
      <c r="B1" s="293"/>
      <c r="C1" s="294"/>
      <c r="D1" s="1" t="s">
        <v>1</v>
      </c>
      <c r="E1" s="2"/>
      <c r="F1" s="3"/>
      <c r="G1" s="4"/>
      <c r="H1" s="5"/>
      <c r="I1" s="5"/>
      <c r="J1" s="6"/>
      <c r="K1" s="7"/>
      <c r="L1" s="8"/>
      <c r="M1" s="9"/>
      <c r="N1" s="10"/>
    </row>
    <row r="2" spans="1:15" ht="24.75" customHeight="1">
      <c r="A2" s="11"/>
      <c r="B2" s="12"/>
      <c r="C2" s="13"/>
      <c r="D2" s="295"/>
      <c r="E2" s="296"/>
      <c r="F2" s="296"/>
      <c r="G2" s="296"/>
      <c r="H2" s="296"/>
      <c r="I2" s="296"/>
      <c r="J2" s="296"/>
      <c r="K2" s="296"/>
      <c r="L2" s="296"/>
      <c r="M2" s="14"/>
      <c r="N2" s="10"/>
      <c r="O2" s="15"/>
    </row>
    <row r="3" spans="1:15" s="17" customFormat="1">
      <c r="A3" s="297"/>
      <c r="B3" s="298"/>
      <c r="C3" s="299"/>
      <c r="D3" s="16" t="s">
        <v>2</v>
      </c>
      <c r="E3" s="300"/>
      <c r="F3" s="301"/>
      <c r="G3" s="301"/>
      <c r="H3" s="301"/>
      <c r="I3" s="301"/>
      <c r="J3" s="301"/>
      <c r="K3" s="301"/>
      <c r="L3" s="301"/>
      <c r="M3" s="302"/>
    </row>
    <row r="4" spans="1:15" s="17" customFormat="1" ht="15.6" customHeight="1">
      <c r="A4" s="18"/>
      <c r="B4" s="19"/>
      <c r="C4" s="20"/>
      <c r="D4" s="21" t="s">
        <v>3</v>
      </c>
      <c r="E4" s="22"/>
      <c r="F4" s="23"/>
      <c r="G4" s="303"/>
      <c r="H4" s="304"/>
      <c r="I4" s="305"/>
      <c r="J4" s="24"/>
      <c r="K4" s="25"/>
      <c r="L4" s="25"/>
      <c r="M4" s="26"/>
    </row>
    <row r="5" spans="1:15" s="17" customFormat="1" ht="14.45" customHeight="1">
      <c r="A5" s="18"/>
      <c r="B5" s="19"/>
      <c r="C5" s="27"/>
      <c r="D5" s="28" t="s">
        <v>4</v>
      </c>
      <c r="E5" s="22"/>
      <c r="F5" s="29"/>
      <c r="G5" s="289" t="s">
        <v>5</v>
      </c>
      <c r="H5" s="290"/>
      <c r="I5" s="290"/>
      <c r="J5" s="290"/>
      <c r="K5" s="291"/>
      <c r="L5" s="26"/>
      <c r="M5" s="26"/>
    </row>
    <row r="6" spans="1:15" s="17" customFormat="1" ht="14.45" customHeight="1">
      <c r="A6" s="18"/>
      <c r="B6" s="19"/>
      <c r="C6" s="30"/>
      <c r="D6" s="28" t="s">
        <v>6</v>
      </c>
      <c r="E6" s="22"/>
      <c r="F6" s="31"/>
      <c r="G6" s="289" t="s">
        <v>7</v>
      </c>
      <c r="H6" s="290"/>
      <c r="I6" s="290"/>
      <c r="J6" s="290"/>
      <c r="K6" s="291"/>
      <c r="L6" s="26"/>
      <c r="M6" s="26"/>
    </row>
    <row r="7" spans="1:15" s="17" customFormat="1">
      <c r="A7" s="18"/>
      <c r="B7" s="19"/>
      <c r="C7" s="32"/>
      <c r="D7" s="28" t="s">
        <v>8</v>
      </c>
      <c r="E7" s="22"/>
      <c r="F7" s="33"/>
      <c r="G7" s="289" t="s">
        <v>9</v>
      </c>
      <c r="H7" s="290"/>
      <c r="I7" s="290"/>
      <c r="J7" s="290"/>
      <c r="K7" s="291"/>
      <c r="L7" s="26"/>
      <c r="M7" s="26"/>
    </row>
    <row r="8" spans="1:15" s="17" customFormat="1">
      <c r="A8" s="18"/>
      <c r="B8" s="19"/>
      <c r="C8" s="34"/>
      <c r="D8" s="28" t="s">
        <v>10</v>
      </c>
      <c r="E8" s="22"/>
      <c r="F8" s="35"/>
      <c r="G8" s="289" t="s">
        <v>11</v>
      </c>
      <c r="H8" s="290"/>
      <c r="I8" s="290"/>
      <c r="J8" s="290"/>
      <c r="K8" s="291"/>
      <c r="L8" s="26"/>
      <c r="M8" s="26"/>
    </row>
    <row r="9" spans="1:15" s="17" customFormat="1">
      <c r="A9" s="18"/>
      <c r="B9" s="19"/>
      <c r="C9" s="36"/>
      <c r="D9" s="28" t="s">
        <v>12</v>
      </c>
      <c r="E9" s="22"/>
      <c r="F9" s="37"/>
      <c r="G9" s="289" t="s">
        <v>13</v>
      </c>
      <c r="H9" s="290"/>
      <c r="I9" s="290"/>
      <c r="J9" s="290"/>
      <c r="K9" s="291"/>
      <c r="L9" s="26"/>
      <c r="M9" s="26"/>
    </row>
    <row r="10" spans="1:15" ht="30.6">
      <c r="A10" s="38" t="s">
        <v>14</v>
      </c>
      <c r="B10" s="39"/>
      <c r="C10" s="40" t="s">
        <v>15</v>
      </c>
      <c r="D10" s="41" t="s">
        <v>16</v>
      </c>
      <c r="E10" s="42"/>
      <c r="F10" s="43" t="s">
        <v>17</v>
      </c>
      <c r="G10" s="42"/>
      <c r="H10" s="42" t="s">
        <v>18</v>
      </c>
      <c r="I10" s="42" t="s">
        <v>19</v>
      </c>
      <c r="J10" s="44" t="s">
        <v>20</v>
      </c>
      <c r="K10" s="41" t="s">
        <v>21</v>
      </c>
      <c r="L10" s="41" t="s">
        <v>22</v>
      </c>
      <c r="M10" s="45" t="s">
        <v>23</v>
      </c>
      <c r="N10" s="45" t="s">
        <v>24</v>
      </c>
    </row>
    <row r="11" spans="1:15" s="58" customFormat="1" ht="24.6" customHeight="1">
      <c r="A11" s="46"/>
      <c r="B11" s="47"/>
      <c r="C11" s="48"/>
      <c r="D11" s="49" t="s">
        <v>25</v>
      </c>
      <c r="E11" s="50"/>
      <c r="F11" s="51"/>
      <c r="G11" s="52"/>
      <c r="H11" s="53"/>
      <c r="I11" s="53"/>
      <c r="J11" s="54"/>
      <c r="K11" s="55"/>
      <c r="L11" s="56" t="s">
        <v>26</v>
      </c>
      <c r="M11" s="57"/>
      <c r="N11"/>
    </row>
    <row r="12" spans="1:15" s="65" customFormat="1" ht="29.45" customHeight="1">
      <c r="A12" s="59"/>
      <c r="B12" s="60"/>
      <c r="C12" s="61"/>
      <c r="D12" s="286" t="s">
        <v>27</v>
      </c>
      <c r="E12" s="287"/>
      <c r="F12" s="287"/>
      <c r="G12" s="287"/>
      <c r="H12" s="287"/>
      <c r="I12" s="287"/>
      <c r="J12" s="287"/>
      <c r="K12" s="287"/>
      <c r="L12" s="287"/>
      <c r="M12" s="288"/>
    </row>
    <row r="13" spans="1:15">
      <c r="A13" s="66">
        <v>45748</v>
      </c>
      <c r="B13" s="67"/>
      <c r="C13" s="68">
        <v>100</v>
      </c>
      <c r="D13" s="69" t="s">
        <v>28</v>
      </c>
      <c r="E13" s="70"/>
      <c r="F13" s="71"/>
      <c r="G13" s="72"/>
      <c r="H13" s="73"/>
      <c r="I13" s="73"/>
      <c r="J13" s="74"/>
      <c r="K13" s="75"/>
      <c r="L13" s="75"/>
      <c r="M13" s="69"/>
    </row>
    <row r="14" spans="1:15" ht="23.25" customHeight="1">
      <c r="M14" s="81"/>
    </row>
    <row r="15" spans="1:15" ht="20.45">
      <c r="A15" s="76">
        <v>45735</v>
      </c>
      <c r="B15" s="19"/>
      <c r="C15" s="77">
        <f>C46+10</f>
        <v>870</v>
      </c>
      <c r="D15" s="83" t="s">
        <v>29</v>
      </c>
      <c r="E15" s="22"/>
      <c r="F15" s="84"/>
      <c r="G15" s="85"/>
      <c r="H15" s="79"/>
      <c r="I15" s="79"/>
      <c r="J15" s="86"/>
      <c r="K15" s="25" t="s">
        <v>30</v>
      </c>
      <c r="L15" s="192" t="s">
        <v>31</v>
      </c>
      <c r="M15" s="26"/>
      <c r="O15" s="87"/>
    </row>
    <row r="16" spans="1:15" ht="20.45">
      <c r="A16" s="76">
        <v>45757</v>
      </c>
      <c r="B16" s="19"/>
      <c r="C16" s="77">
        <v>120</v>
      </c>
      <c r="D16" s="83" t="s">
        <v>32</v>
      </c>
      <c r="E16" s="22"/>
      <c r="F16" s="84"/>
      <c r="G16" s="85"/>
      <c r="H16" s="79"/>
      <c r="I16" s="79"/>
      <c r="J16" s="86"/>
      <c r="K16" s="25"/>
      <c r="L16" s="192"/>
      <c r="M16" s="26"/>
      <c r="O16" s="87"/>
    </row>
    <row r="17" spans="1:15">
      <c r="A17" s="66">
        <v>45748</v>
      </c>
      <c r="B17" s="66"/>
      <c r="C17" s="107">
        <v>200</v>
      </c>
      <c r="D17" s="69" t="s">
        <v>33</v>
      </c>
      <c r="E17" s="66"/>
      <c r="F17" s="66"/>
      <c r="G17" s="66"/>
      <c r="H17" s="66"/>
      <c r="I17" s="66"/>
      <c r="J17" s="66"/>
      <c r="K17" s="66"/>
      <c r="L17" s="66"/>
      <c r="M17" s="66"/>
      <c r="O17" s="87"/>
    </row>
    <row r="18" spans="1:15">
      <c r="A18" s="277">
        <v>45756</v>
      </c>
      <c r="B18" s="19"/>
      <c r="C18" s="77">
        <f t="shared" ref="C18:C65" si="0">C17+10</f>
        <v>210</v>
      </c>
      <c r="D18" s="23" t="s">
        <v>34</v>
      </c>
      <c r="E18" s="22"/>
      <c r="F18" s="84"/>
      <c r="G18" s="85"/>
      <c r="H18" s="211">
        <v>45756.416666666664</v>
      </c>
      <c r="I18" s="211">
        <v>45756.427083333336</v>
      </c>
      <c r="J18" s="86"/>
      <c r="K18" s="25" t="s">
        <v>35</v>
      </c>
      <c r="L18" s="275"/>
      <c r="M18" s="26" t="s">
        <v>36</v>
      </c>
      <c r="O18" s="87"/>
    </row>
    <row r="19" spans="1:15">
      <c r="A19" s="76">
        <v>45748</v>
      </c>
      <c r="B19" s="19"/>
      <c r="C19" s="77">
        <f t="shared" si="0"/>
        <v>220</v>
      </c>
      <c r="D19" s="23" t="s">
        <v>37</v>
      </c>
      <c r="E19" s="22"/>
      <c r="F19" s="88"/>
      <c r="G19" s="209"/>
      <c r="H19" s="314" t="s">
        <v>38</v>
      </c>
      <c r="I19" s="315" t="s">
        <v>39</v>
      </c>
      <c r="J19" s="210"/>
      <c r="K19" s="25" t="s">
        <v>40</v>
      </c>
      <c r="L19" s="192" t="s">
        <v>31</v>
      </c>
      <c r="M19" s="26"/>
    </row>
    <row r="20" spans="1:15" ht="23.25" customHeight="1">
      <c r="A20" s="76">
        <v>45750</v>
      </c>
      <c r="B20" s="19"/>
      <c r="C20" s="77">
        <f t="shared" si="0"/>
        <v>230</v>
      </c>
      <c r="D20" s="23" t="s">
        <v>41</v>
      </c>
      <c r="E20" s="20"/>
      <c r="F20" s="78"/>
      <c r="G20" s="22"/>
      <c r="H20" s="212"/>
      <c r="I20" s="212"/>
      <c r="J20" s="80">
        <f>C19</f>
        <v>220</v>
      </c>
      <c r="K20" s="25" t="s">
        <v>30</v>
      </c>
      <c r="L20" s="25"/>
      <c r="M20" s="81"/>
    </row>
    <row r="21" spans="1:15" ht="20.45">
      <c r="A21" s="76">
        <v>45754</v>
      </c>
      <c r="B21" s="19"/>
      <c r="C21" s="77">
        <f t="shared" si="0"/>
        <v>240</v>
      </c>
      <c r="D21" s="28" t="s">
        <v>42</v>
      </c>
      <c r="E21" s="20"/>
      <c r="F21" s="28"/>
      <c r="G21" s="22"/>
      <c r="H21" s="79"/>
      <c r="I21" s="79"/>
      <c r="J21" s="80"/>
      <c r="K21" s="25" t="s">
        <v>43</v>
      </c>
      <c r="L21" s="273" t="s">
        <v>31</v>
      </c>
      <c r="M21" s="196"/>
    </row>
    <row r="22" spans="1:15">
      <c r="A22" s="76">
        <v>45754</v>
      </c>
      <c r="B22" s="19"/>
      <c r="C22" s="77">
        <f t="shared" si="0"/>
        <v>250</v>
      </c>
      <c r="D22" s="28" t="s">
        <v>44</v>
      </c>
      <c r="E22" s="20"/>
      <c r="F22" s="78"/>
      <c r="G22" s="22"/>
      <c r="H22" s="79"/>
      <c r="I22" s="79"/>
      <c r="J22" s="80"/>
      <c r="K22" s="25" t="s">
        <v>43</v>
      </c>
      <c r="L22" s="273" t="s">
        <v>31</v>
      </c>
    </row>
    <row r="23" spans="1:15" ht="34.5" customHeight="1">
      <c r="A23" s="76">
        <v>45755</v>
      </c>
      <c r="B23" s="19"/>
      <c r="C23" s="77">
        <f t="shared" si="0"/>
        <v>260</v>
      </c>
      <c r="D23" s="127" t="s">
        <v>45</v>
      </c>
      <c r="E23" s="20"/>
      <c r="F23" s="78"/>
      <c r="G23" s="22"/>
      <c r="H23" s="79"/>
      <c r="I23" s="79"/>
      <c r="J23" s="80"/>
      <c r="K23" s="25" t="s">
        <v>43</v>
      </c>
      <c r="L23" s="273" t="s">
        <v>31</v>
      </c>
      <c r="M23" s="196"/>
    </row>
    <row r="24" spans="1:15" ht="20.45">
      <c r="A24" s="76">
        <v>45755</v>
      </c>
      <c r="B24" s="19"/>
      <c r="C24" s="77">
        <f t="shared" si="0"/>
        <v>270</v>
      </c>
      <c r="D24" s="127" t="s">
        <v>46</v>
      </c>
      <c r="E24" s="20"/>
      <c r="F24" s="78"/>
      <c r="G24" s="22"/>
      <c r="H24" s="79"/>
      <c r="I24" s="79"/>
      <c r="J24" s="80"/>
      <c r="K24" s="25" t="s">
        <v>47</v>
      </c>
      <c r="L24" s="273" t="s">
        <v>31</v>
      </c>
      <c r="M24" s="196"/>
    </row>
    <row r="25" spans="1:15" ht="20.45">
      <c r="A25" s="76">
        <v>45755</v>
      </c>
      <c r="B25" s="19"/>
      <c r="C25" s="77">
        <f t="shared" si="0"/>
        <v>280</v>
      </c>
      <c r="D25" s="127" t="s">
        <v>48</v>
      </c>
      <c r="E25" s="20"/>
      <c r="F25" s="78"/>
      <c r="G25" s="22"/>
      <c r="H25" s="79"/>
      <c r="I25" s="79"/>
      <c r="J25" s="80"/>
      <c r="K25" s="25" t="s">
        <v>43</v>
      </c>
      <c r="L25" s="273" t="s">
        <v>31</v>
      </c>
      <c r="M25" s="196"/>
    </row>
    <row r="26" spans="1:15">
      <c r="A26" s="66">
        <v>45755</v>
      </c>
      <c r="B26" s="66"/>
      <c r="C26" s="107">
        <v>400</v>
      </c>
      <c r="D26" s="69" t="s">
        <v>49</v>
      </c>
      <c r="E26" s="66"/>
      <c r="F26" s="66"/>
      <c r="G26" s="66"/>
      <c r="H26" s="66"/>
      <c r="I26" s="66"/>
      <c r="J26" s="66"/>
      <c r="K26" s="66"/>
      <c r="L26" s="66"/>
      <c r="M26" s="66"/>
    </row>
    <row r="27" spans="1:15">
      <c r="A27" s="76">
        <v>45755</v>
      </c>
      <c r="B27" s="19"/>
      <c r="C27" s="77">
        <f t="shared" si="0"/>
        <v>410</v>
      </c>
      <c r="D27" s="28" t="s">
        <v>50</v>
      </c>
      <c r="E27" s="20"/>
      <c r="F27" s="78"/>
      <c r="G27" s="22"/>
      <c r="H27" s="79"/>
      <c r="I27" s="79"/>
      <c r="J27" s="80"/>
      <c r="K27" s="25" t="s">
        <v>43</v>
      </c>
      <c r="L27" s="273" t="s">
        <v>31</v>
      </c>
    </row>
    <row r="28" spans="1:15" ht="20.45">
      <c r="A28" s="76">
        <v>45755</v>
      </c>
      <c r="B28" s="19"/>
      <c r="C28" s="77">
        <f t="shared" si="0"/>
        <v>420</v>
      </c>
      <c r="D28" s="28" t="s">
        <v>51</v>
      </c>
      <c r="E28" s="20"/>
      <c r="F28" s="78"/>
      <c r="G28" s="22"/>
      <c r="H28" s="79"/>
      <c r="I28" s="79"/>
      <c r="J28" s="80"/>
      <c r="K28" s="25" t="s">
        <v>43</v>
      </c>
      <c r="L28" s="273" t="s">
        <v>31</v>
      </c>
    </row>
    <row r="29" spans="1:15">
      <c r="A29" s="66">
        <v>45755</v>
      </c>
      <c r="B29" s="66"/>
      <c r="C29" s="107">
        <v>500</v>
      </c>
      <c r="D29" s="69" t="s">
        <v>52</v>
      </c>
      <c r="E29" s="66"/>
      <c r="F29" s="66"/>
      <c r="G29" s="66"/>
      <c r="H29" s="66"/>
      <c r="I29" s="66"/>
      <c r="J29" s="66"/>
      <c r="K29" s="66"/>
      <c r="L29" s="66"/>
      <c r="M29" s="66"/>
    </row>
    <row r="30" spans="1:15" ht="81.599999999999994">
      <c r="A30" s="76">
        <v>45750</v>
      </c>
      <c r="B30" s="19"/>
      <c r="C30" s="77">
        <f t="shared" si="0"/>
        <v>510</v>
      </c>
      <c r="D30" s="109" t="s">
        <v>53</v>
      </c>
      <c r="E30" s="20"/>
      <c r="F30" s="78" t="s">
        <v>54</v>
      </c>
      <c r="G30" s="22"/>
      <c r="H30" s="79"/>
      <c r="I30" s="79"/>
      <c r="J30" s="80"/>
      <c r="K30" s="25" t="s">
        <v>55</v>
      </c>
      <c r="L30" s="270" t="s">
        <v>31</v>
      </c>
    </row>
    <row r="31" spans="1:15">
      <c r="A31" s="76">
        <v>45755</v>
      </c>
      <c r="B31" s="19"/>
      <c r="C31" s="77">
        <f t="shared" si="0"/>
        <v>520</v>
      </c>
      <c r="D31" s="139" t="s">
        <v>56</v>
      </c>
      <c r="E31" s="20"/>
      <c r="F31" s="78"/>
      <c r="G31" s="22"/>
      <c r="H31" s="79"/>
      <c r="I31" s="79"/>
      <c r="J31" s="80"/>
      <c r="K31" s="25" t="s">
        <v>55</v>
      </c>
      <c r="L31" s="273" t="s">
        <v>31</v>
      </c>
    </row>
    <row r="32" spans="1:15">
      <c r="A32" s="76">
        <v>45755</v>
      </c>
      <c r="B32" s="19"/>
      <c r="C32" s="77">
        <f t="shared" si="0"/>
        <v>530</v>
      </c>
      <c r="D32" s="28" t="s">
        <v>57</v>
      </c>
      <c r="E32" s="20"/>
      <c r="F32" s="78"/>
      <c r="G32" s="22"/>
      <c r="H32" s="79"/>
      <c r="I32" s="79"/>
      <c r="J32" s="80">
        <v>520</v>
      </c>
      <c r="K32" s="25" t="s">
        <v>43</v>
      </c>
      <c r="L32" s="273" t="s">
        <v>31</v>
      </c>
    </row>
    <row r="33" spans="1:13">
      <c r="A33" s="76">
        <v>45755</v>
      </c>
      <c r="B33" s="19"/>
      <c r="C33" s="77">
        <f t="shared" si="0"/>
        <v>540</v>
      </c>
      <c r="D33" s="28" t="s">
        <v>58</v>
      </c>
      <c r="E33" s="20"/>
      <c r="F33" s="78"/>
      <c r="G33" s="22"/>
      <c r="H33" s="79"/>
      <c r="I33" s="79"/>
      <c r="J33" s="80">
        <v>520</v>
      </c>
      <c r="K33" s="25" t="s">
        <v>43</v>
      </c>
      <c r="L33" s="273" t="s">
        <v>31</v>
      </c>
    </row>
    <row r="34" spans="1:13">
      <c r="A34" s="66">
        <v>45751</v>
      </c>
      <c r="B34" s="66"/>
      <c r="C34" s="107">
        <v>600</v>
      </c>
      <c r="D34" s="69" t="s">
        <v>59</v>
      </c>
      <c r="E34" s="66"/>
      <c r="F34" s="66"/>
      <c r="G34" s="66"/>
      <c r="H34" s="66"/>
      <c r="I34" s="66"/>
      <c r="J34" s="66"/>
      <c r="K34" s="66"/>
      <c r="L34" s="66"/>
      <c r="M34" s="66"/>
    </row>
    <row r="35" spans="1:13">
      <c r="A35" s="66">
        <v>45748</v>
      </c>
      <c r="B35" s="19"/>
      <c r="C35" s="77">
        <f t="shared" si="0"/>
        <v>610</v>
      </c>
      <c r="D35" s="139" t="s">
        <v>60</v>
      </c>
      <c r="E35" s="20"/>
      <c r="F35" s="78"/>
      <c r="G35" s="22"/>
      <c r="H35" s="79"/>
      <c r="I35" s="79"/>
      <c r="J35" s="80"/>
      <c r="K35" s="25" t="s">
        <v>55</v>
      </c>
      <c r="L35" s="270" t="s">
        <v>61</v>
      </c>
    </row>
    <row r="36" spans="1:13">
      <c r="A36" s="66">
        <v>45749</v>
      </c>
      <c r="B36" s="19"/>
      <c r="C36" s="77">
        <f t="shared" si="0"/>
        <v>620</v>
      </c>
      <c r="D36" s="143" t="s">
        <v>62</v>
      </c>
      <c r="E36" s="20"/>
      <c r="F36" s="78"/>
      <c r="G36" s="22"/>
      <c r="H36" s="79"/>
      <c r="I36" s="79"/>
      <c r="J36" s="80"/>
      <c r="K36" s="25" t="s">
        <v>55</v>
      </c>
      <c r="L36" s="270" t="s">
        <v>61</v>
      </c>
    </row>
    <row r="37" spans="1:13">
      <c r="A37" s="66">
        <v>45751</v>
      </c>
      <c r="B37" s="19"/>
      <c r="C37" s="77">
        <f t="shared" si="0"/>
        <v>630</v>
      </c>
      <c r="D37" s="145" t="s">
        <v>63</v>
      </c>
      <c r="E37" s="20"/>
      <c r="F37" s="78"/>
      <c r="G37" s="22"/>
      <c r="H37" s="79"/>
      <c r="I37" s="79"/>
      <c r="J37" s="80"/>
      <c r="K37" s="25" t="s">
        <v>55</v>
      </c>
      <c r="L37" s="270" t="s">
        <v>61</v>
      </c>
    </row>
    <row r="38" spans="1:13">
      <c r="A38" s="66"/>
      <c r="B38" s="66"/>
      <c r="C38" s="107">
        <v>700</v>
      </c>
      <c r="D38" s="69" t="s">
        <v>64</v>
      </c>
      <c r="E38" s="66"/>
      <c r="F38" s="66"/>
      <c r="G38" s="66"/>
      <c r="H38" s="66"/>
      <c r="I38" s="66"/>
      <c r="J38" s="66"/>
      <c r="K38" s="66"/>
      <c r="L38" s="66"/>
      <c r="M38" s="66"/>
    </row>
    <row r="39" spans="1:13">
      <c r="A39" s="276">
        <v>45756</v>
      </c>
      <c r="B39" s="141"/>
      <c r="C39" s="77">
        <f t="shared" ref="C39:C43" si="1">C38+10</f>
        <v>710</v>
      </c>
      <c r="D39" s="145" t="s">
        <v>65</v>
      </c>
      <c r="E39" s="144"/>
      <c r="F39" s="147"/>
      <c r="G39" s="144"/>
      <c r="H39" s="148">
        <v>0.33333333333333331</v>
      </c>
      <c r="I39" s="148"/>
      <c r="J39" s="149"/>
      <c r="K39" s="138" t="s">
        <v>40</v>
      </c>
      <c r="L39" s="140"/>
      <c r="M39" s="146" t="s">
        <v>36</v>
      </c>
    </row>
    <row r="40" spans="1:13">
      <c r="A40" s="66"/>
      <c r="B40" s="66"/>
      <c r="C40" s="107">
        <v>800</v>
      </c>
      <c r="D40" s="69" t="s">
        <v>66</v>
      </c>
      <c r="E40" s="66"/>
      <c r="F40" s="66"/>
      <c r="G40" s="66"/>
      <c r="H40" s="66"/>
      <c r="I40" s="66"/>
      <c r="J40" s="66"/>
      <c r="K40" s="66"/>
    </row>
    <row r="41" spans="1:13">
      <c r="A41" s="114">
        <v>45755</v>
      </c>
      <c r="B41" s="141"/>
      <c r="C41" s="77">
        <f t="shared" si="1"/>
        <v>810</v>
      </c>
      <c r="D41" s="145" t="s">
        <v>67</v>
      </c>
      <c r="E41" s="144"/>
      <c r="F41" s="147"/>
      <c r="G41" s="144"/>
      <c r="H41" s="148"/>
      <c r="I41" s="148"/>
      <c r="J41" s="149"/>
      <c r="K41" s="138" t="s">
        <v>68</v>
      </c>
      <c r="L41" s="274" t="s">
        <v>61</v>
      </c>
      <c r="M41" s="146"/>
    </row>
    <row r="42" spans="1:13">
      <c r="A42" s="114">
        <v>45755</v>
      </c>
      <c r="B42" s="141"/>
      <c r="C42" s="77">
        <f t="shared" si="1"/>
        <v>820</v>
      </c>
      <c r="D42" s="145" t="s">
        <v>69</v>
      </c>
      <c r="E42" s="144"/>
      <c r="F42" s="147"/>
      <c r="G42" s="144"/>
      <c r="H42" s="148"/>
      <c r="I42" s="148"/>
      <c r="J42" s="149"/>
      <c r="K42" s="138" t="s">
        <v>68</v>
      </c>
      <c r="L42" s="274" t="s">
        <v>61</v>
      </c>
      <c r="M42" s="146"/>
    </row>
    <row r="43" spans="1:13">
      <c r="A43" s="280">
        <v>45757</v>
      </c>
      <c r="B43" s="141"/>
      <c r="C43" s="77">
        <f>C42+10</f>
        <v>830</v>
      </c>
      <c r="D43" s="145" t="s">
        <v>70</v>
      </c>
      <c r="E43" s="144"/>
      <c r="F43" s="147"/>
      <c r="G43" s="144"/>
      <c r="H43" s="148"/>
      <c r="I43" s="148"/>
      <c r="J43" s="208"/>
      <c r="K43" s="138" t="s">
        <v>68</v>
      </c>
      <c r="L43" s="278" t="s">
        <v>61</v>
      </c>
      <c r="M43" s="146"/>
    </row>
    <row r="44" spans="1:13">
      <c r="A44" s="283">
        <v>45757</v>
      </c>
      <c r="B44" s="141"/>
      <c r="C44" s="77">
        <f>C43+10</f>
        <v>840</v>
      </c>
      <c r="D44" s="145" t="s">
        <v>71</v>
      </c>
      <c r="E44" s="144"/>
      <c r="F44" s="147"/>
      <c r="G44" s="144"/>
      <c r="H44" s="148"/>
      <c r="I44" s="148"/>
      <c r="J44" s="208">
        <v>710</v>
      </c>
      <c r="K44" s="138" t="s">
        <v>68</v>
      </c>
      <c r="L44" s="278" t="s">
        <v>61</v>
      </c>
      <c r="M44" s="146"/>
    </row>
    <row r="45" spans="1:13">
      <c r="A45" s="283">
        <v>45757</v>
      </c>
      <c r="B45" s="141"/>
      <c r="C45" s="77">
        <f>C44+10</f>
        <v>850</v>
      </c>
      <c r="D45" s="145" t="s">
        <v>72</v>
      </c>
      <c r="E45" s="144"/>
      <c r="F45" s="147"/>
      <c r="G45" s="144"/>
      <c r="H45" s="148"/>
      <c r="I45" s="148"/>
      <c r="J45" s="208">
        <v>710</v>
      </c>
      <c r="K45" s="279" t="s">
        <v>73</v>
      </c>
      <c r="L45" s="278" t="s">
        <v>61</v>
      </c>
      <c r="M45" s="146"/>
    </row>
    <row r="46" spans="1:13" ht="20.45">
      <c r="A46" s="114">
        <v>45757</v>
      </c>
      <c r="B46" s="19"/>
      <c r="C46" s="77">
        <f>C45+10</f>
        <v>860</v>
      </c>
      <c r="D46" s="23" t="s">
        <v>74</v>
      </c>
      <c r="E46" s="20"/>
      <c r="F46" s="78"/>
      <c r="G46" s="22"/>
      <c r="H46" s="79"/>
      <c r="I46" s="79"/>
      <c r="J46" s="80"/>
      <c r="K46" s="25" t="s">
        <v>73</v>
      </c>
      <c r="L46" s="278" t="s">
        <v>61</v>
      </c>
      <c r="M46" s="146" t="s">
        <v>75</v>
      </c>
    </row>
    <row r="47" spans="1:13" ht="20.45">
      <c r="A47" s="114">
        <v>45757</v>
      </c>
      <c r="B47" s="141"/>
      <c r="C47" s="77">
        <f>C46+10</f>
        <v>870</v>
      </c>
      <c r="D47" s="145" t="s">
        <v>76</v>
      </c>
      <c r="E47" s="144"/>
      <c r="F47" s="147"/>
      <c r="G47" s="144"/>
      <c r="H47" s="148"/>
      <c r="I47" s="148"/>
      <c r="J47" s="149"/>
      <c r="K47" s="138" t="s">
        <v>77</v>
      </c>
      <c r="L47" s="140"/>
      <c r="M47" s="146"/>
    </row>
    <row r="48" spans="1:13" ht="20.45">
      <c r="A48" s="114">
        <v>45757</v>
      </c>
      <c r="B48" s="141"/>
      <c r="C48" s="77">
        <f>C47+10</f>
        <v>880</v>
      </c>
      <c r="D48" s="145" t="s">
        <v>78</v>
      </c>
      <c r="E48" s="144"/>
      <c r="F48" s="147"/>
      <c r="G48" s="144"/>
      <c r="H48" s="148"/>
      <c r="I48" s="148"/>
      <c r="J48" s="272">
        <v>120</v>
      </c>
      <c r="K48" s="138" t="s">
        <v>79</v>
      </c>
      <c r="L48" s="278" t="s">
        <v>31</v>
      </c>
      <c r="M48" s="146" t="s">
        <v>80</v>
      </c>
    </row>
    <row r="49" spans="1:15" ht="28.9" customHeight="1">
      <c r="A49" s="204">
        <v>45758</v>
      </c>
      <c r="B49" s="204"/>
      <c r="C49" s="205">
        <v>800</v>
      </c>
      <c r="D49" s="206" t="s">
        <v>81</v>
      </c>
      <c r="E49" s="204"/>
      <c r="F49" s="204"/>
      <c r="G49" s="204"/>
      <c r="H49" s="204"/>
      <c r="I49" s="204"/>
      <c r="J49" s="204"/>
      <c r="K49" s="204"/>
      <c r="L49" s="204"/>
      <c r="M49" s="66"/>
    </row>
    <row r="50" spans="1:15">
      <c r="A50" s="66">
        <v>45758</v>
      </c>
      <c r="B50" s="66"/>
      <c r="C50" s="107">
        <v>900</v>
      </c>
      <c r="D50" s="69" t="s">
        <v>82</v>
      </c>
      <c r="E50" s="66"/>
      <c r="F50" s="66"/>
      <c r="G50" s="66"/>
      <c r="H50" s="66"/>
      <c r="I50" s="66"/>
      <c r="J50" s="66"/>
      <c r="K50" s="66"/>
      <c r="L50" s="66"/>
      <c r="M50" s="66"/>
    </row>
    <row r="51" spans="1:15">
      <c r="A51" s="114">
        <v>45758</v>
      </c>
      <c r="B51" s="76"/>
      <c r="C51" s="77">
        <f t="shared" ref="C51" si="2">C50+10</f>
        <v>910</v>
      </c>
      <c r="D51" s="151" t="s">
        <v>83</v>
      </c>
      <c r="E51" s="76"/>
      <c r="F51" s="76"/>
      <c r="G51" s="76"/>
      <c r="H51" s="207">
        <v>0.33333333333333331</v>
      </c>
      <c r="I51" s="76"/>
      <c r="J51" s="76"/>
      <c r="K51" s="114" t="s">
        <v>40</v>
      </c>
      <c r="L51" s="285" t="s">
        <v>61</v>
      </c>
      <c r="M51" s="76"/>
    </row>
    <row r="52" spans="1:15" ht="20.45">
      <c r="A52" s="114">
        <v>45758</v>
      </c>
      <c r="B52" s="76"/>
      <c r="C52" s="77">
        <f t="shared" si="0"/>
        <v>920</v>
      </c>
      <c r="D52" s="151" t="s">
        <v>84</v>
      </c>
      <c r="E52" s="76"/>
      <c r="F52" s="76"/>
      <c r="G52" s="76"/>
      <c r="H52" s="207">
        <v>0.375</v>
      </c>
      <c r="I52" s="76"/>
      <c r="J52" s="76"/>
      <c r="K52" s="114" t="s">
        <v>40</v>
      </c>
      <c r="L52" s="285" t="s">
        <v>61</v>
      </c>
      <c r="M52" s="76"/>
    </row>
    <row r="53" spans="1:15" ht="20.45">
      <c r="A53" s="114">
        <v>45758</v>
      </c>
      <c r="B53" s="76"/>
      <c r="C53" s="77">
        <f t="shared" si="0"/>
        <v>930</v>
      </c>
      <c r="D53" s="151" t="s">
        <v>85</v>
      </c>
      <c r="E53" s="76"/>
      <c r="F53" s="76"/>
      <c r="G53" s="76"/>
      <c r="H53" s="207">
        <v>0.39583333333333331</v>
      </c>
      <c r="I53" s="76"/>
      <c r="J53" s="76"/>
      <c r="K53" s="114"/>
      <c r="L53" s="285" t="s">
        <v>61</v>
      </c>
      <c r="M53" s="76"/>
    </row>
    <row r="54" spans="1:15" ht="20.45">
      <c r="A54" s="114">
        <v>45758</v>
      </c>
      <c r="B54" s="19"/>
      <c r="C54" s="77">
        <f t="shared" si="0"/>
        <v>940</v>
      </c>
      <c r="D54" s="28" t="s">
        <v>86</v>
      </c>
      <c r="E54" s="22"/>
      <c r="F54" s="88"/>
      <c r="G54" s="89"/>
      <c r="H54" s="90" t="s">
        <v>87</v>
      </c>
      <c r="I54" s="90"/>
      <c r="J54" s="80">
        <v>930</v>
      </c>
      <c r="K54" s="25" t="s">
        <v>88</v>
      </c>
      <c r="L54" s="270" t="s">
        <v>61</v>
      </c>
      <c r="M54" s="26"/>
      <c r="O54" s="94"/>
    </row>
    <row r="55" spans="1:15">
      <c r="A55" s="66"/>
      <c r="B55" s="66"/>
      <c r="C55" s="107">
        <v>1000</v>
      </c>
      <c r="D55" s="69" t="s">
        <v>89</v>
      </c>
      <c r="E55" s="66"/>
      <c r="F55" s="66"/>
      <c r="G55" s="66"/>
      <c r="H55" s="66"/>
      <c r="I55" s="66"/>
      <c r="J55" s="66">
        <v>940</v>
      </c>
      <c r="K55" s="66"/>
      <c r="L55" s="66"/>
      <c r="M55" s="66"/>
      <c r="O55" s="94"/>
    </row>
    <row r="56" spans="1:15" ht="20.45">
      <c r="A56" s="114">
        <v>45758</v>
      </c>
      <c r="B56" s="19"/>
      <c r="C56" s="77">
        <f>C55+10</f>
        <v>1010</v>
      </c>
      <c r="D56" s="23" t="s">
        <v>90</v>
      </c>
      <c r="E56" s="20"/>
      <c r="F56" s="78"/>
      <c r="G56" s="22"/>
      <c r="H56" s="79"/>
      <c r="I56" s="79"/>
      <c r="J56" s="80"/>
      <c r="K56" s="25" t="s">
        <v>73</v>
      </c>
      <c r="L56" s="273" t="s">
        <v>61</v>
      </c>
      <c r="M56" s="26"/>
      <c r="O56" s="96"/>
    </row>
    <row r="57" spans="1:15" ht="20.45">
      <c r="A57" s="114">
        <v>45758</v>
      </c>
      <c r="B57" s="19"/>
      <c r="C57" s="77">
        <f>C56+10</f>
        <v>1020</v>
      </c>
      <c r="D57" s="82" t="s">
        <v>91</v>
      </c>
      <c r="E57" s="20"/>
      <c r="F57" s="78"/>
      <c r="G57" s="22"/>
      <c r="H57" s="79"/>
      <c r="I57" s="79"/>
      <c r="J57" s="80"/>
      <c r="K57" s="25" t="s">
        <v>73</v>
      </c>
      <c r="L57" s="273" t="s">
        <v>61</v>
      </c>
      <c r="M57" s="26"/>
      <c r="O57" s="96"/>
    </row>
    <row r="58" spans="1:15">
      <c r="A58" s="114">
        <v>45758</v>
      </c>
      <c r="C58" s="77">
        <f>C55+10</f>
        <v>1010</v>
      </c>
      <c r="D58" s="28" t="s">
        <v>92</v>
      </c>
      <c r="E58" s="20"/>
      <c r="F58" s="78"/>
      <c r="G58" s="22"/>
      <c r="H58" s="79"/>
      <c r="I58" s="79"/>
      <c r="J58" s="80"/>
      <c r="K58" s="25" t="s">
        <v>73</v>
      </c>
      <c r="L58" s="273" t="s">
        <v>61</v>
      </c>
      <c r="M58" s="26"/>
      <c r="O58" s="96"/>
    </row>
    <row r="59" spans="1:15" ht="20.45">
      <c r="A59" s="114">
        <v>45758</v>
      </c>
      <c r="B59" s="19"/>
      <c r="C59" s="77">
        <f>C55+10</f>
        <v>1010</v>
      </c>
      <c r="D59" s="28" t="s">
        <v>93</v>
      </c>
      <c r="E59" s="22"/>
      <c r="F59" s="88"/>
      <c r="G59" s="89"/>
      <c r="H59" s="90"/>
      <c r="I59" s="95"/>
      <c r="J59" s="80">
        <v>940</v>
      </c>
      <c r="K59" s="25" t="s">
        <v>73</v>
      </c>
      <c r="L59" s="273" t="s">
        <v>61</v>
      </c>
      <c r="M59" s="26"/>
      <c r="O59" s="96"/>
    </row>
    <row r="60" spans="1:15" ht="20.45">
      <c r="A60" s="114">
        <v>45758</v>
      </c>
      <c r="B60" s="19"/>
      <c r="C60" s="77">
        <f>C59+10</f>
        <v>1020</v>
      </c>
      <c r="D60" s="97" t="s">
        <v>94</v>
      </c>
      <c r="E60" s="22"/>
      <c r="F60" s="88"/>
      <c r="G60" s="89"/>
      <c r="H60" s="90"/>
      <c r="I60" s="95"/>
      <c r="J60" s="91"/>
      <c r="K60" s="25" t="s">
        <v>73</v>
      </c>
      <c r="L60" s="273" t="s">
        <v>61</v>
      </c>
      <c r="M60" s="98"/>
    </row>
    <row r="61" spans="1:15" ht="20.45">
      <c r="A61" s="114">
        <v>45758</v>
      </c>
      <c r="B61" s="19"/>
      <c r="C61" s="77">
        <f>C60+10</f>
        <v>1030</v>
      </c>
      <c r="D61" s="97" t="s">
        <v>95</v>
      </c>
      <c r="E61" s="22"/>
      <c r="F61" s="88"/>
      <c r="G61" s="89"/>
      <c r="H61" s="90"/>
      <c r="I61" s="95"/>
      <c r="J61" s="91"/>
      <c r="K61" s="25" t="s">
        <v>73</v>
      </c>
      <c r="L61" s="273" t="s">
        <v>61</v>
      </c>
      <c r="M61" s="98"/>
    </row>
    <row r="62" spans="1:15" ht="20.45">
      <c r="A62" s="114">
        <v>45758</v>
      </c>
      <c r="B62" s="19"/>
      <c r="C62" s="77">
        <f>C60+10</f>
        <v>1030</v>
      </c>
      <c r="D62" s="316" t="s">
        <v>96</v>
      </c>
      <c r="E62" s="22"/>
      <c r="F62" s="88"/>
      <c r="G62" s="89"/>
      <c r="H62" s="90"/>
      <c r="I62" s="95"/>
      <c r="J62" s="80">
        <v>280</v>
      </c>
      <c r="K62" s="25" t="s">
        <v>97</v>
      </c>
      <c r="L62" s="25"/>
      <c r="M62" s="98"/>
    </row>
    <row r="63" spans="1:15">
      <c r="A63" s="66">
        <v>45758</v>
      </c>
      <c r="B63" s="66"/>
      <c r="C63" s="107">
        <v>1100</v>
      </c>
      <c r="D63" s="69" t="s">
        <v>98</v>
      </c>
      <c r="E63" s="66"/>
      <c r="F63" s="66"/>
      <c r="G63" s="66"/>
      <c r="H63" s="66"/>
      <c r="I63" s="66"/>
      <c r="J63" s="66"/>
      <c r="K63" s="66" t="s">
        <v>43</v>
      </c>
      <c r="L63" s="284"/>
      <c r="M63" s="66"/>
    </row>
    <row r="64" spans="1:15">
      <c r="A64" s="76">
        <v>45758</v>
      </c>
      <c r="B64" s="19"/>
      <c r="C64" s="77">
        <f t="shared" si="0"/>
        <v>1110</v>
      </c>
      <c r="D64" s="28" t="s">
        <v>99</v>
      </c>
      <c r="E64" s="193"/>
      <c r="F64" s="197"/>
      <c r="G64" s="198"/>
      <c r="H64" s="199"/>
      <c r="I64" s="200"/>
      <c r="J64" s="194"/>
      <c r="K64" s="195" t="s">
        <v>43</v>
      </c>
      <c r="L64" s="278" t="s">
        <v>31</v>
      </c>
      <c r="M64" s="201"/>
    </row>
    <row r="65" spans="1:13">
      <c r="A65" s="76">
        <v>45758</v>
      </c>
      <c r="B65" s="19"/>
      <c r="C65" s="77">
        <f t="shared" si="0"/>
        <v>1120</v>
      </c>
      <c r="D65" s="28" t="s">
        <v>100</v>
      </c>
      <c r="E65" s="317"/>
      <c r="F65" s="318"/>
      <c r="G65" s="319"/>
      <c r="H65" s="320"/>
      <c r="I65" s="100"/>
      <c r="J65" s="101"/>
      <c r="K65" s="102" t="s">
        <v>43</v>
      </c>
      <c r="L65" s="278" t="s">
        <v>31</v>
      </c>
      <c r="M65" s="103"/>
    </row>
    <row r="66" spans="1:13" ht="30.6" customHeight="1">
      <c r="A66" s="59"/>
      <c r="B66" s="60"/>
      <c r="C66" s="61"/>
      <c r="D66" s="286" t="s">
        <v>101</v>
      </c>
      <c r="E66" s="287"/>
      <c r="F66" s="287"/>
      <c r="G66" s="287"/>
      <c r="H66" s="287"/>
      <c r="I66" s="287"/>
      <c r="J66" s="287"/>
      <c r="K66" s="287"/>
      <c r="L66" s="287"/>
      <c r="M66" s="288"/>
    </row>
    <row r="67" spans="1:13" ht="20.45">
      <c r="A67" s="66">
        <v>45759</v>
      </c>
      <c r="B67" s="69"/>
      <c r="C67" s="68">
        <v>2000</v>
      </c>
      <c r="D67" s="69" t="s">
        <v>102</v>
      </c>
      <c r="E67" s="72"/>
      <c r="F67" s="71"/>
      <c r="G67" s="72"/>
      <c r="H67" s="73" t="s">
        <v>103</v>
      </c>
      <c r="I67" s="73"/>
      <c r="J67" s="74"/>
      <c r="K67" s="75" t="s">
        <v>104</v>
      </c>
      <c r="L67" s="75"/>
      <c r="M67" s="104"/>
    </row>
    <row r="68" spans="1:13" ht="30.6">
      <c r="A68" s="66">
        <v>45759</v>
      </c>
      <c r="B68" s="19"/>
      <c r="C68" s="77">
        <f>C67+10</f>
        <v>2010</v>
      </c>
      <c r="D68" s="28" t="s">
        <v>105</v>
      </c>
      <c r="E68" s="22"/>
      <c r="F68" s="78"/>
      <c r="G68" s="22"/>
      <c r="H68" s="105"/>
      <c r="I68" s="105"/>
      <c r="J68" s="24"/>
      <c r="K68" s="25" t="s">
        <v>104</v>
      </c>
      <c r="L68" s="271" t="s">
        <v>106</v>
      </c>
      <c r="M68" s="103"/>
    </row>
    <row r="69" spans="1:13">
      <c r="A69" s="66">
        <v>45759</v>
      </c>
      <c r="B69" s="69"/>
      <c r="C69" s="68">
        <v>2100</v>
      </c>
      <c r="D69" s="69" t="s">
        <v>107</v>
      </c>
      <c r="E69" s="72"/>
      <c r="F69" s="110"/>
      <c r="G69" s="111"/>
      <c r="H69" s="112" t="s">
        <v>108</v>
      </c>
      <c r="I69" s="112"/>
      <c r="J69" s="113"/>
      <c r="K69" s="75" t="s">
        <v>43</v>
      </c>
      <c r="L69" s="75"/>
      <c r="M69" s="69"/>
    </row>
    <row r="70" spans="1:13">
      <c r="A70" s="114">
        <v>45759</v>
      </c>
      <c r="B70" s="19"/>
      <c r="C70" s="77">
        <f>C69+10</f>
        <v>2110</v>
      </c>
      <c r="D70" s="94" t="s">
        <v>109</v>
      </c>
      <c r="E70" s="22"/>
      <c r="F70" s="78"/>
      <c r="G70" s="22"/>
      <c r="H70" s="105"/>
      <c r="I70" s="105"/>
      <c r="J70" s="115"/>
      <c r="K70" s="25" t="s">
        <v>43</v>
      </c>
      <c r="L70" s="271" t="s">
        <v>106</v>
      </c>
      <c r="M70" s="202" t="s">
        <v>110</v>
      </c>
    </row>
    <row r="71" spans="1:13">
      <c r="A71" s="114">
        <v>45759</v>
      </c>
      <c r="B71" s="19"/>
      <c r="C71" s="77">
        <f t="shared" ref="C71:C73" si="3">C70+10</f>
        <v>2120</v>
      </c>
      <c r="D71" s="28" t="s">
        <v>111</v>
      </c>
      <c r="E71" s="22"/>
      <c r="F71" s="78"/>
      <c r="G71" s="22"/>
      <c r="H71" s="105"/>
      <c r="I71" s="105"/>
      <c r="J71" s="115"/>
      <c r="K71" s="25" t="s">
        <v>43</v>
      </c>
      <c r="L71" s="271" t="s">
        <v>106</v>
      </c>
      <c r="M71" s="202" t="s">
        <v>110</v>
      </c>
    </row>
    <row r="72" spans="1:13">
      <c r="A72" s="114">
        <v>45759</v>
      </c>
      <c r="B72" s="19"/>
      <c r="C72" s="77">
        <f t="shared" si="3"/>
        <v>2130</v>
      </c>
      <c r="D72" s="203" t="s">
        <v>112</v>
      </c>
      <c r="E72" s="22"/>
      <c r="F72" s="78"/>
      <c r="G72" s="22"/>
      <c r="H72" s="105"/>
      <c r="I72" s="105"/>
      <c r="J72" s="115"/>
      <c r="K72" s="25" t="s">
        <v>113</v>
      </c>
      <c r="L72" s="271" t="s">
        <v>106</v>
      </c>
      <c r="M72" s="202" t="s">
        <v>114</v>
      </c>
    </row>
    <row r="73" spans="1:13">
      <c r="A73" s="114"/>
      <c r="B73" s="19"/>
      <c r="C73" s="77">
        <f t="shared" si="3"/>
        <v>2140</v>
      </c>
      <c r="D73" s="203" t="s">
        <v>115</v>
      </c>
      <c r="E73" s="22"/>
      <c r="F73" s="78"/>
      <c r="G73" s="22"/>
      <c r="H73" s="105"/>
      <c r="I73" s="105"/>
      <c r="J73" s="115"/>
      <c r="K73" s="25"/>
      <c r="L73" s="271" t="s">
        <v>106</v>
      </c>
      <c r="M73" s="202"/>
    </row>
    <row r="74" spans="1:13">
      <c r="A74" s="67">
        <v>45759</v>
      </c>
      <c r="B74" s="69"/>
      <c r="C74" s="68">
        <v>2200</v>
      </c>
      <c r="D74" s="69" t="s">
        <v>116</v>
      </c>
      <c r="E74" s="72"/>
      <c r="F74" s="110"/>
      <c r="G74" s="111"/>
      <c r="H74" s="73" t="s">
        <v>117</v>
      </c>
      <c r="I74" s="73"/>
      <c r="J74" s="113"/>
      <c r="K74" s="25" t="s">
        <v>43</v>
      </c>
      <c r="L74" s="75"/>
      <c r="M74" s="69"/>
    </row>
    <row r="75" spans="1:13">
      <c r="A75" s="114">
        <v>45759</v>
      </c>
      <c r="B75" s="19"/>
      <c r="C75" s="77">
        <f t="shared" ref="C75:C83" si="4">C74+10</f>
        <v>2210</v>
      </c>
      <c r="D75" s="28" t="s">
        <v>118</v>
      </c>
      <c r="E75" s="22"/>
      <c r="F75" s="78"/>
      <c r="G75" s="22"/>
      <c r="H75" s="105"/>
      <c r="I75" s="105"/>
      <c r="J75" s="116">
        <v>700</v>
      </c>
      <c r="K75" s="25" t="s">
        <v>43</v>
      </c>
      <c r="L75" s="271" t="s">
        <v>106</v>
      </c>
      <c r="M75" s="26"/>
    </row>
    <row r="76" spans="1:13" ht="20.45">
      <c r="A76" s="114">
        <v>45759</v>
      </c>
      <c r="B76" s="19"/>
      <c r="C76" s="77">
        <f t="shared" si="4"/>
        <v>2220</v>
      </c>
      <c r="D76" s="28" t="s">
        <v>119</v>
      </c>
      <c r="E76" s="22"/>
      <c r="F76" s="78"/>
      <c r="G76" s="22"/>
      <c r="H76" s="105"/>
      <c r="I76" s="105"/>
      <c r="K76" s="25" t="s">
        <v>43</v>
      </c>
      <c r="L76" s="271" t="s">
        <v>106</v>
      </c>
      <c r="M76" s="26"/>
    </row>
    <row r="77" spans="1:13">
      <c r="A77" s="114">
        <v>45759</v>
      </c>
      <c r="B77" s="19"/>
      <c r="C77" s="77">
        <f t="shared" si="4"/>
        <v>2230</v>
      </c>
      <c r="D77" s="28" t="s">
        <v>120</v>
      </c>
      <c r="E77" s="22"/>
      <c r="F77" s="78"/>
      <c r="G77" s="22"/>
      <c r="H77" s="105"/>
      <c r="I77" s="105"/>
      <c r="J77" s="118" t="s">
        <v>121</v>
      </c>
      <c r="K77" s="25" t="s">
        <v>43</v>
      </c>
      <c r="L77" s="271" t="s">
        <v>106</v>
      </c>
      <c r="M77" s="26"/>
    </row>
    <row r="78" spans="1:13">
      <c r="A78" s="114">
        <v>45759</v>
      </c>
      <c r="B78" s="19"/>
      <c r="C78" s="77">
        <f t="shared" si="4"/>
        <v>2240</v>
      </c>
      <c r="D78" s="28" t="s">
        <v>122</v>
      </c>
      <c r="E78" s="22"/>
      <c r="F78" s="78"/>
      <c r="G78" s="22"/>
      <c r="H78" s="105"/>
      <c r="I78" s="105"/>
      <c r="K78" s="25" t="s">
        <v>43</v>
      </c>
      <c r="L78" s="271" t="s">
        <v>106</v>
      </c>
      <c r="M78" s="26"/>
    </row>
    <row r="79" spans="1:13" s="65" customFormat="1">
      <c r="A79" s="67">
        <v>45759</v>
      </c>
      <c r="B79" s="69"/>
      <c r="C79" s="68">
        <v>2300</v>
      </c>
      <c r="D79" s="125" t="s">
        <v>123</v>
      </c>
      <c r="E79" s="72"/>
      <c r="F79" s="71"/>
      <c r="G79" s="72"/>
      <c r="H79" s="73" t="s">
        <v>124</v>
      </c>
      <c r="I79" s="73"/>
      <c r="J79" s="123">
        <v>830</v>
      </c>
      <c r="K79" s="25" t="s">
        <v>43</v>
      </c>
      <c r="L79" s="75"/>
      <c r="M79" s="69"/>
    </row>
    <row r="80" spans="1:13">
      <c r="A80" s="114">
        <v>45759</v>
      </c>
      <c r="B80" s="19"/>
      <c r="C80" s="77">
        <f t="shared" si="4"/>
        <v>2310</v>
      </c>
      <c r="D80" s="126" t="s">
        <v>125</v>
      </c>
      <c r="E80" s="22"/>
      <c r="F80" s="22"/>
      <c r="G80" s="22"/>
      <c r="H80" s="22"/>
      <c r="I80" s="22"/>
      <c r="J80" s="24"/>
      <c r="K80" s="25" t="s">
        <v>43</v>
      </c>
      <c r="L80" s="271" t="s">
        <v>106</v>
      </c>
      <c r="M80" s="26"/>
    </row>
    <row r="81" spans="1:15" ht="30.6">
      <c r="A81" s="114">
        <v>45759</v>
      </c>
      <c r="B81" s="19"/>
      <c r="C81" s="77">
        <f t="shared" si="4"/>
        <v>2320</v>
      </c>
      <c r="D81" s="127" t="s">
        <v>126</v>
      </c>
      <c r="E81" s="22"/>
      <c r="F81" s="22"/>
      <c r="G81" s="22"/>
      <c r="H81" s="22"/>
      <c r="I81" s="22"/>
      <c r="J81" s="24"/>
      <c r="K81" s="25" t="s">
        <v>43</v>
      </c>
      <c r="L81" s="271" t="s">
        <v>106</v>
      </c>
      <c r="M81" s="133"/>
    </row>
    <row r="82" spans="1:15">
      <c r="A82" s="114">
        <v>45759</v>
      </c>
      <c r="B82" s="19"/>
      <c r="C82" s="77">
        <f t="shared" si="4"/>
        <v>2330</v>
      </c>
      <c r="D82" s="127" t="s">
        <v>127</v>
      </c>
      <c r="E82" s="22"/>
      <c r="F82" s="22"/>
      <c r="G82" s="22"/>
      <c r="H82" s="22"/>
      <c r="I82" s="22"/>
      <c r="J82" s="24"/>
      <c r="K82" s="25" t="s">
        <v>43</v>
      </c>
      <c r="L82" s="271" t="s">
        <v>106</v>
      </c>
      <c r="M82" s="133"/>
    </row>
    <row r="83" spans="1:15">
      <c r="A83" s="114">
        <v>45759</v>
      </c>
      <c r="B83" s="19"/>
      <c r="C83" s="77">
        <f t="shared" si="4"/>
        <v>2340</v>
      </c>
      <c r="D83" s="127" t="s">
        <v>128</v>
      </c>
      <c r="E83" s="128"/>
      <c r="F83" s="129"/>
      <c r="G83" s="130"/>
      <c r="H83" s="131"/>
      <c r="I83" s="131"/>
      <c r="J83" s="134">
        <v>830</v>
      </c>
      <c r="K83" s="25" t="s">
        <v>43</v>
      </c>
      <c r="L83" s="271" t="s">
        <v>106</v>
      </c>
      <c r="M83" s="133"/>
    </row>
    <row r="84" spans="1:15">
      <c r="A84" s="67">
        <v>45759</v>
      </c>
      <c r="B84" s="67"/>
      <c r="C84" s="68">
        <v>2400</v>
      </c>
      <c r="D84" s="119" t="s">
        <v>129</v>
      </c>
      <c r="E84" s="120"/>
      <c r="F84" s="121"/>
      <c r="G84" s="120"/>
      <c r="H84" s="122" t="s">
        <v>130</v>
      </c>
      <c r="I84" s="122"/>
      <c r="J84" s="123">
        <v>830</v>
      </c>
      <c r="K84" s="75" t="s">
        <v>104</v>
      </c>
      <c r="L84" s="75"/>
      <c r="M84" s="69"/>
    </row>
    <row r="85" spans="1:15" ht="20.45">
      <c r="A85" s="114">
        <v>45759</v>
      </c>
      <c r="B85" s="19"/>
      <c r="C85" s="77">
        <f>C84+10</f>
        <v>2410</v>
      </c>
      <c r="D85" s="28" t="s">
        <v>131</v>
      </c>
      <c r="E85" s="22"/>
      <c r="F85" s="78"/>
      <c r="G85" s="22"/>
      <c r="H85" s="22"/>
      <c r="I85" s="22"/>
      <c r="K85" s="25" t="s">
        <v>43</v>
      </c>
      <c r="L85" s="25"/>
      <c r="M85" s="26"/>
      <c r="O85" s="58"/>
    </row>
    <row r="86" spans="1:15" ht="20.45">
      <c r="A86" s="114">
        <v>45759</v>
      </c>
      <c r="B86" s="19"/>
      <c r="C86" s="77">
        <f t="shared" ref="C86:C87" si="5">C85+10</f>
        <v>2420</v>
      </c>
      <c r="D86" s="28" t="s">
        <v>132</v>
      </c>
      <c r="E86" s="22"/>
      <c r="F86" s="124"/>
      <c r="G86" s="22"/>
      <c r="H86" s="22"/>
      <c r="I86" s="22"/>
      <c r="J86" s="24"/>
      <c r="K86" s="25" t="s">
        <v>43</v>
      </c>
      <c r="L86" s="25"/>
      <c r="M86" s="28"/>
      <c r="O86" s="65"/>
    </row>
    <row r="87" spans="1:15">
      <c r="A87" s="114">
        <v>45759</v>
      </c>
      <c r="B87" s="19"/>
      <c r="C87" s="77">
        <f t="shared" si="5"/>
        <v>2430</v>
      </c>
      <c r="D87" s="127" t="s">
        <v>133</v>
      </c>
      <c r="E87" s="128"/>
      <c r="F87" s="129"/>
      <c r="G87" s="130"/>
      <c r="H87" s="131"/>
      <c r="I87" s="131">
        <v>0.41666666666666669</v>
      </c>
      <c r="J87" s="118" t="s">
        <v>134</v>
      </c>
      <c r="K87" s="132" t="s">
        <v>135</v>
      </c>
      <c r="L87" s="129" t="s">
        <v>106</v>
      </c>
      <c r="M87" s="133"/>
    </row>
    <row r="88" spans="1:15">
      <c r="A88" s="114">
        <v>45760</v>
      </c>
      <c r="B88" s="19"/>
      <c r="C88" s="77">
        <f>C87+10</f>
        <v>2440</v>
      </c>
      <c r="D88" s="127" t="s">
        <v>136</v>
      </c>
      <c r="E88" s="128"/>
      <c r="F88" s="129"/>
      <c r="G88" s="130"/>
      <c r="H88" s="131"/>
      <c r="I88" s="131"/>
      <c r="J88" s="118"/>
      <c r="K88" s="132" t="s">
        <v>137</v>
      </c>
      <c r="L88" s="129"/>
      <c r="M88" s="133"/>
    </row>
    <row r="89" spans="1:15" ht="16.149999999999999">
      <c r="A89" s="59"/>
      <c r="B89" s="60"/>
      <c r="C89" s="135"/>
      <c r="D89" s="286" t="s">
        <v>138</v>
      </c>
      <c r="E89" s="287"/>
      <c r="F89" s="287"/>
      <c r="G89" s="287"/>
      <c r="H89" s="287"/>
      <c r="I89" s="287"/>
      <c r="J89" s="287"/>
      <c r="K89" s="287"/>
      <c r="L89" s="287"/>
      <c r="M89" s="288"/>
    </row>
    <row r="90" spans="1:15" ht="16.149999999999999">
      <c r="A90" s="59"/>
      <c r="B90" s="60"/>
      <c r="C90" s="135"/>
      <c r="D90" s="62"/>
      <c r="E90" s="63"/>
      <c r="F90" s="136"/>
      <c r="G90" s="63"/>
      <c r="H90" s="136"/>
      <c r="I90" s="136"/>
      <c r="J90" s="137"/>
      <c r="K90" s="63"/>
      <c r="L90" s="63"/>
      <c r="M90" s="64"/>
    </row>
    <row r="91" spans="1:15">
      <c r="A91" s="120"/>
      <c r="B91" s="120"/>
      <c r="C91" s="120"/>
      <c r="D91" s="120" t="s">
        <v>139</v>
      </c>
      <c r="E91" s="120"/>
      <c r="F91" s="120"/>
      <c r="G91" s="120"/>
      <c r="H91" s="120"/>
      <c r="I91" s="120"/>
      <c r="J91" s="120"/>
      <c r="K91" s="120"/>
      <c r="L91" s="120"/>
      <c r="M91" s="120"/>
    </row>
    <row r="92" spans="1:15">
      <c r="A92" s="76">
        <v>45759</v>
      </c>
      <c r="B92" s="19"/>
      <c r="C92" s="20"/>
      <c r="D92" s="127" t="s">
        <v>140</v>
      </c>
      <c r="E92" s="138"/>
      <c r="F92" s="156"/>
      <c r="G92" s="157"/>
      <c r="H92" s="105"/>
      <c r="I92" s="321"/>
      <c r="J92" s="142"/>
      <c r="K92" s="159"/>
      <c r="L92" s="25"/>
      <c r="M92" s="26"/>
    </row>
    <row r="93" spans="1:15">
      <c r="B93" s="19"/>
      <c r="C93" s="20"/>
      <c r="D93" s="127" t="s">
        <v>141</v>
      </c>
      <c r="E93" s="138"/>
      <c r="F93" s="156"/>
      <c r="G93" s="157"/>
      <c r="H93" s="105"/>
      <c r="I93" s="321"/>
      <c r="J93" s="142"/>
      <c r="K93" s="159"/>
      <c r="L93" s="25"/>
      <c r="M93" s="26"/>
    </row>
    <row r="94" spans="1:15" ht="16.149999999999999">
      <c r="A94" s="59"/>
      <c r="B94" s="60"/>
      <c r="C94" s="135"/>
      <c r="D94" s="286" t="s">
        <v>142</v>
      </c>
      <c r="E94" s="287"/>
      <c r="F94" s="287"/>
      <c r="G94" s="287"/>
      <c r="H94" s="287"/>
      <c r="I94" s="287"/>
      <c r="J94" s="287"/>
      <c r="K94" s="287"/>
      <c r="L94" s="287"/>
      <c r="M94" s="288"/>
    </row>
    <row r="95" spans="1:15" ht="16.149999999999999">
      <c r="A95" s="59"/>
      <c r="B95" s="60"/>
      <c r="C95" s="135"/>
      <c r="D95" s="62"/>
      <c r="E95" s="63"/>
      <c r="F95" s="136"/>
      <c r="G95" s="63"/>
      <c r="H95" s="136"/>
      <c r="I95" s="136"/>
      <c r="J95" s="137"/>
      <c r="K95" s="63"/>
      <c r="L95" s="63"/>
      <c r="M95" s="64"/>
    </row>
    <row r="96" spans="1:15" ht="28.9">
      <c r="A96" s="76">
        <v>45759</v>
      </c>
      <c r="B96" s="19"/>
      <c r="C96" s="20"/>
      <c r="D96" s="94" t="s">
        <v>143</v>
      </c>
      <c r="E96" s="138"/>
      <c r="F96" s="156"/>
      <c r="G96" s="157"/>
      <c r="H96" s="105"/>
      <c r="I96" s="321"/>
      <c r="J96" s="142"/>
      <c r="K96" s="159"/>
      <c r="L96" s="271" t="s">
        <v>106</v>
      </c>
      <c r="M96" s="26"/>
    </row>
    <row r="97" spans="1:15">
      <c r="B97" s="19"/>
      <c r="C97" s="20"/>
      <c r="E97" s="138"/>
      <c r="F97" s="156"/>
      <c r="G97" s="157"/>
      <c r="H97" s="105"/>
      <c r="I97" s="321"/>
      <c r="J97" s="142"/>
      <c r="K97" s="159"/>
      <c r="L97" s="25"/>
      <c r="M97" s="26"/>
    </row>
    <row r="98" spans="1:15">
      <c r="A98" s="155"/>
      <c r="B98" s="19"/>
      <c r="C98" s="20"/>
      <c r="D98" s="28"/>
      <c r="E98" s="138"/>
      <c r="F98" s="156"/>
      <c r="G98" s="157"/>
      <c r="H98" s="93"/>
      <c r="I98" s="158"/>
      <c r="J98" s="142"/>
      <c r="K98" s="159"/>
      <c r="L98" s="25"/>
      <c r="M98" s="26"/>
    </row>
    <row r="99" spans="1:15" s="169" customFormat="1" ht="109.5" customHeight="1">
      <c r="A99" s="160"/>
      <c r="B99" s="161"/>
      <c r="C99" s="162"/>
      <c r="D99" s="322"/>
      <c r="E99" s="163"/>
      <c r="F99" s="164"/>
      <c r="G99" s="163"/>
      <c r="H99" s="165"/>
      <c r="I99" s="165"/>
      <c r="J99" s="166"/>
      <c r="K99" s="167"/>
      <c r="L99" s="167"/>
      <c r="M99" s="168"/>
    </row>
    <row r="100" spans="1:15" s="169" customFormat="1" ht="63.75" customHeight="1">
      <c r="A100" s="160"/>
      <c r="B100" s="161"/>
      <c r="C100" s="162"/>
      <c r="D100" s="322"/>
      <c r="E100" s="170"/>
      <c r="F100" s="171"/>
      <c r="G100" s="172"/>
      <c r="H100" s="173"/>
      <c r="I100" s="173"/>
      <c r="J100" s="174"/>
      <c r="K100" s="167"/>
      <c r="L100" s="167"/>
      <c r="M100" s="168"/>
    </row>
    <row r="101" spans="1:15" ht="80.25" customHeight="1">
      <c r="A101" s="155"/>
      <c r="B101" s="19"/>
      <c r="C101" s="150"/>
      <c r="D101" s="28"/>
      <c r="E101" s="92"/>
      <c r="F101" s="152"/>
      <c r="G101" s="153"/>
      <c r="H101" s="175"/>
      <c r="I101" s="175"/>
      <c r="J101" s="154"/>
      <c r="K101" s="25"/>
      <c r="L101" s="106"/>
      <c r="M101" s="176"/>
      <c r="O101" s="176"/>
    </row>
    <row r="102" spans="1:15" ht="75.75" customHeight="1">
      <c r="A102" s="155"/>
      <c r="B102" s="19"/>
      <c r="C102" s="150"/>
      <c r="D102" s="28"/>
      <c r="E102" s="92"/>
      <c r="F102" s="152"/>
      <c r="G102" s="153"/>
      <c r="H102" s="175"/>
      <c r="I102" s="175"/>
      <c r="J102" s="154"/>
      <c r="K102" s="25"/>
      <c r="L102" s="106"/>
      <c r="M102" s="177"/>
    </row>
    <row r="103" spans="1:15">
      <c r="A103" s="69"/>
      <c r="B103" s="69"/>
      <c r="C103" s="70"/>
      <c r="D103" s="69"/>
      <c r="E103" s="72"/>
      <c r="F103" s="110"/>
      <c r="G103" s="111"/>
      <c r="H103" s="73"/>
      <c r="I103" s="73"/>
      <c r="J103" s="113"/>
      <c r="K103" s="75"/>
      <c r="L103" s="75"/>
      <c r="M103" s="178"/>
    </row>
    <row r="104" spans="1:15">
      <c r="A104" s="155"/>
      <c r="B104" s="19"/>
      <c r="C104" s="20"/>
      <c r="D104" s="28"/>
      <c r="E104" s="22"/>
      <c r="F104" s="78"/>
      <c r="G104" s="22"/>
      <c r="H104" s="93"/>
      <c r="I104" s="93"/>
      <c r="J104" s="24"/>
      <c r="K104" s="25"/>
      <c r="L104" s="25"/>
      <c r="M104" s="98"/>
    </row>
    <row r="105" spans="1:15">
      <c r="A105" s="99"/>
      <c r="B105" s="19"/>
      <c r="C105" s="20"/>
      <c r="D105" s="28"/>
      <c r="E105" s="22"/>
      <c r="F105" s="78"/>
      <c r="G105" s="22"/>
      <c r="H105" s="93"/>
      <c r="I105" s="93"/>
      <c r="J105" s="24"/>
      <c r="K105" s="25"/>
      <c r="L105" s="25"/>
      <c r="M105" s="26"/>
    </row>
    <row r="106" spans="1:15">
      <c r="A106" s="99"/>
      <c r="B106" s="19"/>
      <c r="C106" s="20"/>
      <c r="D106" s="28"/>
      <c r="E106" s="22"/>
      <c r="F106" s="78"/>
      <c r="G106" s="22"/>
      <c r="H106" s="93"/>
      <c r="I106" s="93"/>
      <c r="J106" s="24"/>
      <c r="K106" s="25"/>
      <c r="L106" s="25"/>
      <c r="M106" s="26"/>
    </row>
    <row r="107" spans="1:15">
      <c r="A107" s="69"/>
      <c r="B107" s="179"/>
      <c r="C107" s="70"/>
      <c r="D107" s="69"/>
      <c r="E107" s="72"/>
      <c r="F107" s="110"/>
      <c r="G107" s="111"/>
      <c r="H107" s="73"/>
      <c r="I107" s="180"/>
      <c r="J107" s="181"/>
      <c r="K107" s="182"/>
      <c r="L107" s="75"/>
      <c r="M107" s="69"/>
    </row>
    <row r="108" spans="1:15" ht="49.5" customHeight="1">
      <c r="A108" s="155"/>
      <c r="B108" s="19"/>
      <c r="C108" s="20"/>
      <c r="D108" s="28"/>
      <c r="E108" s="22"/>
      <c r="F108" s="78"/>
      <c r="G108" s="22"/>
      <c r="H108" s="93"/>
      <c r="I108" s="158"/>
      <c r="J108" s="142"/>
      <c r="K108" s="159"/>
      <c r="L108" s="25"/>
      <c r="M108" s="26"/>
    </row>
    <row r="109" spans="1:15" ht="23.45" customHeight="1">
      <c r="A109" s="155"/>
      <c r="B109" s="19"/>
      <c r="C109" s="20"/>
      <c r="D109" s="28"/>
      <c r="E109" s="22"/>
      <c r="F109" s="78"/>
      <c r="G109" s="22"/>
      <c r="H109" s="93"/>
      <c r="I109" s="158"/>
      <c r="J109" s="142"/>
      <c r="K109" s="159"/>
      <c r="L109" s="25"/>
      <c r="M109" s="26"/>
    </row>
    <row r="110" spans="1:15" ht="24" customHeight="1">
      <c r="A110" s="155"/>
      <c r="B110" s="19"/>
      <c r="C110" s="20"/>
      <c r="D110" s="28"/>
      <c r="E110" s="22"/>
      <c r="F110" s="78"/>
      <c r="G110" s="22"/>
      <c r="H110" s="93"/>
      <c r="I110" s="158"/>
      <c r="J110" s="142"/>
      <c r="K110" s="159"/>
      <c r="L110" s="25"/>
      <c r="M110" s="26"/>
    </row>
  </sheetData>
  <mergeCells count="14">
    <mergeCell ref="G5:K5"/>
    <mergeCell ref="A1:C1"/>
    <mergeCell ref="D2:L2"/>
    <mergeCell ref="A3:C3"/>
    <mergeCell ref="E3:M3"/>
    <mergeCell ref="G4:I4"/>
    <mergeCell ref="D94:M94"/>
    <mergeCell ref="D89:M89"/>
    <mergeCell ref="G6:K6"/>
    <mergeCell ref="G7:K7"/>
    <mergeCell ref="G8:K8"/>
    <mergeCell ref="G9:K9"/>
    <mergeCell ref="D12:M12"/>
    <mergeCell ref="D66:M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0DFF-D4BA-4718-B1B2-E053923BADA1}">
  <dimension ref="A1:AE44"/>
  <sheetViews>
    <sheetView workbookViewId="0">
      <selection activeCell="D35" sqref="D35"/>
    </sheetView>
  </sheetViews>
  <sheetFormatPr defaultColWidth="8.85546875" defaultRowHeight="14.45"/>
  <cols>
    <col min="1" max="1" width="14.140625" customWidth="1"/>
    <col min="2" max="2" width="18.28515625" style="264" customWidth="1"/>
    <col min="3" max="3" width="18.85546875" style="94" customWidth="1"/>
    <col min="4" max="4" width="18.85546875" customWidth="1"/>
    <col min="5" max="5" width="28.28515625" customWidth="1"/>
    <col min="6" max="6" width="30" style="266" customWidth="1"/>
    <col min="7" max="7" width="19.5703125" customWidth="1"/>
    <col min="8" max="8" width="17.28515625" customWidth="1"/>
  </cols>
  <sheetData>
    <row r="1" spans="1:31" ht="17.45">
      <c r="A1" s="310" t="s">
        <v>144</v>
      </c>
      <c r="B1" s="311"/>
      <c r="C1" s="311"/>
      <c r="D1" s="311"/>
      <c r="E1" s="311"/>
      <c r="F1" s="311"/>
      <c r="G1" s="311"/>
      <c r="H1" s="312"/>
    </row>
    <row r="2" spans="1:31" s="216" customFormat="1" ht="34.9">
      <c r="A2" s="213" t="s">
        <v>145</v>
      </c>
      <c r="B2" s="214" t="s">
        <v>146</v>
      </c>
      <c r="C2" s="215"/>
      <c r="F2" s="217"/>
    </row>
    <row r="3" spans="1:31" s="219" customFormat="1" ht="11.45">
      <c r="A3" s="313" t="s">
        <v>147</v>
      </c>
      <c r="B3" s="308"/>
      <c r="C3" s="308"/>
      <c r="D3" s="308"/>
      <c r="E3" s="308"/>
      <c r="F3" s="308"/>
      <c r="G3" s="308"/>
      <c r="H3" s="309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31" s="218" customFormat="1" ht="11.45">
      <c r="A4" s="220" t="s">
        <v>148</v>
      </c>
      <c r="B4" s="220" t="s">
        <v>149</v>
      </c>
      <c r="C4" s="221" t="s">
        <v>150</v>
      </c>
      <c r="D4" s="221" t="s">
        <v>151</v>
      </c>
      <c r="E4" s="220" t="s">
        <v>152</v>
      </c>
      <c r="F4" s="221" t="s">
        <v>153</v>
      </c>
      <c r="G4" s="220" t="s">
        <v>18</v>
      </c>
      <c r="H4" s="220" t="s">
        <v>154</v>
      </c>
    </row>
    <row r="5" spans="1:31" s="224" customFormat="1" ht="11.45">
      <c r="A5" s="222" t="s">
        <v>155</v>
      </c>
      <c r="B5" s="222" t="s">
        <v>156</v>
      </c>
      <c r="C5" s="268"/>
      <c r="D5" s="267" t="s">
        <v>157</v>
      </c>
      <c r="E5" s="222"/>
      <c r="F5" s="222" t="s">
        <v>158</v>
      </c>
      <c r="G5" s="222"/>
      <c r="H5" s="222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</row>
    <row r="6" spans="1:31" s="218" customFormat="1" ht="11.45">
      <c r="A6" s="222" t="s">
        <v>159</v>
      </c>
      <c r="B6" s="222" t="s">
        <v>160</v>
      </c>
      <c r="C6" s="269"/>
      <c r="D6" s="281" t="s">
        <v>161</v>
      </c>
      <c r="E6" s="222"/>
      <c r="F6" s="222" t="s">
        <v>162</v>
      </c>
      <c r="G6" s="227"/>
      <c r="H6" s="227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</row>
    <row r="7" spans="1:31" s="218" customFormat="1" ht="11.45">
      <c r="A7" s="222" t="s">
        <v>68</v>
      </c>
      <c r="B7" s="222" t="s">
        <v>163</v>
      </c>
      <c r="C7" s="269" t="s">
        <v>164</v>
      </c>
      <c r="D7" s="267">
        <v>5148860662</v>
      </c>
      <c r="E7" s="226"/>
      <c r="F7" s="222" t="s">
        <v>162</v>
      </c>
      <c r="G7" s="227"/>
      <c r="H7" s="227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</row>
    <row r="8" spans="1:31" s="218" customFormat="1" ht="11.45">
      <c r="A8" s="222" t="s">
        <v>165</v>
      </c>
      <c r="B8" s="222" t="s">
        <v>166</v>
      </c>
      <c r="C8" s="269"/>
      <c r="D8" s="267" t="s">
        <v>167</v>
      </c>
      <c r="E8" s="228"/>
      <c r="F8" s="222" t="s">
        <v>168</v>
      </c>
      <c r="G8" s="227"/>
      <c r="H8" s="227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</row>
    <row r="9" spans="1:31" s="219" customFormat="1" ht="11.45">
      <c r="A9" s="313" t="s">
        <v>169</v>
      </c>
      <c r="B9" s="308"/>
      <c r="C9" s="308"/>
      <c r="D9" s="308"/>
      <c r="E9" s="308"/>
      <c r="F9" s="308"/>
      <c r="G9" s="308"/>
      <c r="H9" s="309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18"/>
      <c r="Z9" s="218"/>
      <c r="AA9" s="218"/>
    </row>
    <row r="10" spans="1:31" s="219" customFormat="1" ht="11.45">
      <c r="A10" s="220" t="s">
        <v>148</v>
      </c>
      <c r="B10" s="220" t="s">
        <v>149</v>
      </c>
      <c r="C10" s="221" t="s">
        <v>150</v>
      </c>
      <c r="D10" s="221" t="s">
        <v>151</v>
      </c>
      <c r="E10" s="220" t="s">
        <v>152</v>
      </c>
      <c r="F10" s="221" t="s">
        <v>153</v>
      </c>
      <c r="G10" s="229" t="s">
        <v>18</v>
      </c>
      <c r="H10" s="229" t="s">
        <v>154</v>
      </c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18"/>
      <c r="Z10" s="218"/>
      <c r="AA10" s="218"/>
      <c r="AB10" s="218"/>
    </row>
    <row r="11" spans="1:31" s="218" customFormat="1" ht="11.45">
      <c r="A11" s="222" t="s">
        <v>170</v>
      </c>
      <c r="B11" s="222" t="s">
        <v>171</v>
      </c>
      <c r="C11" s="225"/>
      <c r="D11" s="231"/>
      <c r="E11" s="226"/>
      <c r="F11" s="222" t="s">
        <v>158</v>
      </c>
      <c r="G11" s="227"/>
      <c r="H11" s="227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</row>
    <row r="12" spans="1:31" s="218" customFormat="1" ht="11.45">
      <c r="A12" s="222" t="s">
        <v>79</v>
      </c>
      <c r="B12" s="222" t="s">
        <v>172</v>
      </c>
      <c r="C12" s="225"/>
      <c r="D12" s="231" t="s">
        <v>173</v>
      </c>
      <c r="E12" s="228"/>
      <c r="F12" s="222" t="s">
        <v>174</v>
      </c>
      <c r="G12" s="282">
        <v>0.33333333333333331</v>
      </c>
      <c r="H12" s="282">
        <v>0.5</v>
      </c>
    </row>
    <row r="13" spans="1:31" s="230" customFormat="1" ht="11.45">
      <c r="A13" s="222" t="s">
        <v>175</v>
      </c>
      <c r="B13" s="222" t="s">
        <v>176</v>
      </c>
      <c r="C13" s="225"/>
      <c r="D13" s="231"/>
      <c r="E13" s="226"/>
      <c r="F13" s="230" t="s">
        <v>177</v>
      </c>
      <c r="G13" s="227"/>
      <c r="H13" s="227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</row>
    <row r="14" spans="1:31" s="219" customFormat="1" ht="11.45">
      <c r="A14" s="313" t="s">
        <v>178</v>
      </c>
      <c r="B14" s="308"/>
      <c r="C14" s="308"/>
      <c r="D14" s="308"/>
      <c r="E14" s="308"/>
      <c r="F14" s="308"/>
      <c r="G14" s="308"/>
      <c r="H14" s="309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</row>
    <row r="15" spans="1:31" s="219" customFormat="1" ht="11.45">
      <c r="A15" s="220" t="s">
        <v>148</v>
      </c>
      <c r="B15" s="220" t="s">
        <v>149</v>
      </c>
      <c r="C15" s="221" t="s">
        <v>150</v>
      </c>
      <c r="D15" s="221" t="s">
        <v>151</v>
      </c>
      <c r="E15" s="220" t="s">
        <v>152</v>
      </c>
      <c r="F15" s="221" t="s">
        <v>153</v>
      </c>
      <c r="G15" s="229" t="s">
        <v>18</v>
      </c>
      <c r="H15" s="229" t="s">
        <v>154</v>
      </c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</row>
    <row r="16" spans="1:31" s="230" customFormat="1" ht="11.45">
      <c r="A16" s="230" t="s">
        <v>179</v>
      </c>
      <c r="B16" s="230" t="s">
        <v>180</v>
      </c>
      <c r="C16" s="225"/>
      <c r="D16" s="267">
        <v>6046191931</v>
      </c>
      <c r="E16" s="226"/>
      <c r="F16" s="222" t="s">
        <v>158</v>
      </c>
      <c r="G16" s="227"/>
      <c r="H16" s="227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32"/>
    </row>
    <row r="17" spans="1:29" s="230" customFormat="1" ht="11.45">
      <c r="A17" s="228" t="s">
        <v>181</v>
      </c>
      <c r="B17" s="228" t="s">
        <v>182</v>
      </c>
      <c r="C17" s="225"/>
      <c r="D17" s="231">
        <v>6047901751</v>
      </c>
      <c r="E17" s="226"/>
      <c r="F17" s="222"/>
      <c r="G17" s="282">
        <v>0.33333333333333331</v>
      </c>
      <c r="H17" s="282">
        <v>0.41666666666666669</v>
      </c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32"/>
    </row>
    <row r="18" spans="1:29" s="230" customFormat="1" ht="11.45">
      <c r="A18" s="228" t="s">
        <v>183</v>
      </c>
      <c r="B18" s="228" t="s">
        <v>184</v>
      </c>
      <c r="C18" s="225"/>
      <c r="D18" s="231"/>
      <c r="E18" s="226"/>
      <c r="F18" s="222"/>
      <c r="G18" s="282">
        <v>0.33333333333333331</v>
      </c>
      <c r="H18" s="282">
        <v>0.41666666666666669</v>
      </c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32"/>
    </row>
    <row r="19" spans="1:29" s="230" customFormat="1" ht="11.45">
      <c r="A19" s="228" t="s">
        <v>185</v>
      </c>
      <c r="B19" s="228" t="s">
        <v>186</v>
      </c>
      <c r="C19" s="225"/>
      <c r="D19" s="231">
        <v>2367775121</v>
      </c>
      <c r="E19" s="226"/>
      <c r="F19" s="222"/>
      <c r="G19" s="227"/>
      <c r="H19" s="227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32"/>
    </row>
    <row r="20" spans="1:29" s="230" customFormat="1" ht="11.45">
      <c r="C20" s="225"/>
      <c r="D20" s="231"/>
      <c r="E20" s="226"/>
      <c r="F20" s="222"/>
      <c r="G20" s="227"/>
      <c r="H20" s="227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32"/>
    </row>
    <row r="21" spans="1:29" s="219" customFormat="1" ht="11.45">
      <c r="A21" s="313" t="s">
        <v>187</v>
      </c>
      <c r="B21" s="308"/>
      <c r="C21" s="308"/>
      <c r="D21" s="308"/>
      <c r="E21" s="308"/>
      <c r="F21" s="308"/>
      <c r="G21" s="308"/>
      <c r="H21" s="309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</row>
    <row r="22" spans="1:29" s="219" customFormat="1" ht="11.45">
      <c r="A22" s="220" t="s">
        <v>148</v>
      </c>
      <c r="B22" s="220" t="s">
        <v>149</v>
      </c>
      <c r="C22" s="221"/>
      <c r="D22" s="221" t="s">
        <v>151</v>
      </c>
      <c r="E22" s="220" t="s">
        <v>152</v>
      </c>
      <c r="F22" s="221" t="s">
        <v>153</v>
      </c>
      <c r="G22" s="229" t="s">
        <v>18</v>
      </c>
      <c r="H22" s="229" t="s">
        <v>154</v>
      </c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</row>
    <row r="23" spans="1:29" s="230" customFormat="1" ht="12.6">
      <c r="A23" s="228" t="s">
        <v>188</v>
      </c>
      <c r="B23" s="228" t="s">
        <v>189</v>
      </c>
      <c r="C23" s="233"/>
      <c r="D23" s="234"/>
      <c r="E23" s="226"/>
      <c r="F23" s="228"/>
      <c r="G23" s="227"/>
      <c r="H23" s="227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32"/>
    </row>
    <row r="24" spans="1:29" ht="33" customHeight="1">
      <c r="A24" s="235"/>
      <c r="B24" s="235"/>
      <c r="C24" s="236"/>
      <c r="D24" s="237"/>
      <c r="E24" s="228"/>
      <c r="F24" s="228"/>
      <c r="G24" s="227"/>
      <c r="H24" s="227"/>
    </row>
    <row r="25" spans="1:29" ht="33" customHeight="1">
      <c r="A25" s="235"/>
      <c r="B25" s="235"/>
      <c r="C25" s="235"/>
      <c r="D25" s="238"/>
      <c r="E25" s="228"/>
      <c r="F25" s="228"/>
      <c r="G25" s="227"/>
      <c r="H25" s="227"/>
    </row>
    <row r="26" spans="1:29" ht="15" customHeight="1">
      <c r="A26" s="235"/>
      <c r="B26" s="235"/>
      <c r="C26" s="235"/>
      <c r="D26" s="239"/>
      <c r="E26" s="228"/>
      <c r="F26" s="228"/>
      <c r="G26" s="227"/>
      <c r="H26" s="227"/>
    </row>
    <row r="27" spans="1:29">
      <c r="A27" s="228"/>
      <c r="B27" s="228"/>
      <c r="C27" s="240"/>
      <c r="D27" s="241"/>
      <c r="E27" s="242"/>
      <c r="F27" s="228"/>
      <c r="G27" s="227"/>
      <c r="H27" s="227"/>
    </row>
    <row r="28" spans="1:29">
      <c r="A28" s="228"/>
      <c r="B28" s="228"/>
      <c r="C28" s="222"/>
      <c r="E28" s="243"/>
      <c r="F28" s="228"/>
      <c r="G28" s="227"/>
      <c r="H28" s="227"/>
    </row>
    <row r="29" spans="1:29">
      <c r="A29" s="228"/>
      <c r="B29" s="228"/>
      <c r="C29" s="222"/>
      <c r="D29" s="228"/>
      <c r="E29" s="243"/>
      <c r="F29" s="228"/>
      <c r="G29" s="227"/>
      <c r="H29" s="227"/>
    </row>
    <row r="30" spans="1:29" ht="15" customHeight="1">
      <c r="A30" s="244"/>
      <c r="B30" s="235"/>
      <c r="C30" s="235"/>
      <c r="D30" s="244"/>
      <c r="E30" s="228"/>
      <c r="F30" s="228"/>
      <c r="G30" s="227"/>
      <c r="H30" s="227"/>
    </row>
    <row r="31" spans="1:29" s="219" customFormat="1" ht="11.45">
      <c r="A31" s="313" t="s">
        <v>190</v>
      </c>
      <c r="B31" s="308"/>
      <c r="C31" s="308"/>
      <c r="D31" s="308"/>
      <c r="E31" s="308"/>
      <c r="F31" s="308"/>
      <c r="G31" s="308"/>
      <c r="H31" s="309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</row>
    <row r="32" spans="1:29" s="219" customFormat="1" ht="11.45">
      <c r="A32" s="220" t="s">
        <v>148</v>
      </c>
      <c r="B32" s="220" t="s">
        <v>149</v>
      </c>
      <c r="C32" s="221" t="s">
        <v>150</v>
      </c>
      <c r="D32" s="221" t="s">
        <v>151</v>
      </c>
      <c r="E32" s="220" t="s">
        <v>152</v>
      </c>
      <c r="F32" s="221" t="s">
        <v>153</v>
      </c>
      <c r="G32" s="229" t="s">
        <v>18</v>
      </c>
      <c r="H32" s="229" t="s">
        <v>154</v>
      </c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</row>
    <row r="33" spans="1:8" s="249" customFormat="1" ht="15" customHeight="1">
      <c r="A33" s="249" t="s">
        <v>191</v>
      </c>
      <c r="B33" s="249" t="s">
        <v>192</v>
      </c>
      <c r="C33" s="246"/>
      <c r="D33" s="247" t="s">
        <v>193</v>
      </c>
      <c r="E33" s="245"/>
      <c r="F33" s="245" t="s">
        <v>194</v>
      </c>
      <c r="G33" s="248"/>
      <c r="H33" s="248"/>
    </row>
    <row r="34" spans="1:8" ht="15" customHeight="1">
      <c r="A34" s="245" t="s">
        <v>195</v>
      </c>
      <c r="B34" s="245" t="s">
        <v>196</v>
      </c>
      <c r="C34" s="252"/>
      <c r="D34" s="228" t="s">
        <v>197</v>
      </c>
      <c r="E34" s="228"/>
      <c r="F34" s="228" t="s">
        <v>198</v>
      </c>
      <c r="G34" s="227"/>
      <c r="H34" s="227"/>
    </row>
    <row r="35" spans="1:8" ht="15" customHeight="1">
      <c r="A35" s="228" t="s">
        <v>199</v>
      </c>
      <c r="B35" s="228" t="s">
        <v>200</v>
      </c>
      <c r="C35" s="222"/>
      <c r="D35" s="228"/>
      <c r="E35" s="228"/>
      <c r="F35" s="228" t="s">
        <v>201</v>
      </c>
      <c r="G35" s="227"/>
      <c r="H35" s="227"/>
    </row>
    <row r="36" spans="1:8">
      <c r="A36" s="306" t="s">
        <v>202</v>
      </c>
      <c r="B36" s="307"/>
      <c r="C36" s="307"/>
      <c r="D36" s="307"/>
      <c r="E36" s="307"/>
      <c r="F36" s="307"/>
      <c r="G36" s="308"/>
      <c r="H36" s="309"/>
    </row>
    <row r="37" spans="1:8" s="249" customFormat="1">
      <c r="A37" s="253"/>
      <c r="B37" s="245"/>
      <c r="C37" s="254"/>
      <c r="D37" s="247"/>
      <c r="E37" s="247"/>
      <c r="F37" s="247"/>
      <c r="G37" s="255"/>
      <c r="H37" s="255"/>
    </row>
    <row r="38" spans="1:8" s="249" customFormat="1">
      <c r="A38" s="247"/>
      <c r="B38" s="256"/>
      <c r="C38" s="254"/>
      <c r="D38"/>
      <c r="E38" s="247"/>
      <c r="F38" s="247"/>
      <c r="G38" s="255"/>
      <c r="H38" s="255"/>
    </row>
    <row r="39" spans="1:8">
      <c r="A39" s="257"/>
      <c r="B39" s="251"/>
      <c r="C39" s="252"/>
      <c r="D39" s="258"/>
      <c r="E39" s="259"/>
      <c r="F39" s="260"/>
      <c r="G39" s="261"/>
      <c r="H39" s="261"/>
    </row>
    <row r="40" spans="1:8">
      <c r="A40" s="250"/>
      <c r="B40" s="241"/>
      <c r="C40" s="252"/>
      <c r="D40" s="258"/>
      <c r="E40" s="259"/>
      <c r="F40" s="260"/>
      <c r="G40" s="261"/>
      <c r="H40" s="261"/>
    </row>
    <row r="41" spans="1:8">
      <c r="A41" s="250"/>
      <c r="B41" s="241"/>
      <c r="C41" s="252"/>
      <c r="D41" s="258"/>
      <c r="E41" s="259"/>
      <c r="F41" s="260"/>
      <c r="G41" s="261"/>
      <c r="H41" s="261"/>
    </row>
    <row r="42" spans="1:8">
      <c r="A42" s="250"/>
      <c r="B42" s="241"/>
      <c r="C42" s="252"/>
      <c r="D42" s="262"/>
      <c r="E42" s="259"/>
      <c r="F42" s="260"/>
      <c r="G42" s="261"/>
      <c r="H42" s="261"/>
    </row>
    <row r="43" spans="1:8" ht="15.75" customHeight="1">
      <c r="A43" s="241"/>
      <c r="B43" s="241"/>
      <c r="C43" s="263"/>
      <c r="D43" s="241"/>
      <c r="E43" s="259"/>
      <c r="F43" s="260"/>
    </row>
    <row r="44" spans="1:8">
      <c r="F44" s="265"/>
    </row>
  </sheetData>
  <mergeCells count="7">
    <mergeCell ref="A36:H36"/>
    <mergeCell ref="A1:H1"/>
    <mergeCell ref="A3:H3"/>
    <mergeCell ref="A9:H9"/>
    <mergeCell ref="A14:H14"/>
    <mergeCell ref="A21:H21"/>
    <mergeCell ref="A31:H31"/>
  </mergeCells>
  <hyperlinks>
    <hyperlink ref="B2" r:id="rId1" display="https://wcbbc.sharepoint.com/:x:/r/sites/ts_OnCallSup/_layouts/15/WopiFrame.aspx?sourcedoc=%7b5c56b3e8-59f0-40a2-b35a-ab83f7799dc6%7d&amp;action=default" xr:uid="{84CE510A-4AC7-4062-BAB3-DDA334491B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E0AA9ED87C3E49AEE751A1DF9EE1DD" ma:contentTypeVersion="12" ma:contentTypeDescription="Create a new document." ma:contentTypeScope="" ma:versionID="593c96702ab2476960a3d2ef88eadbcd">
  <xsd:schema xmlns:xsd="http://www.w3.org/2001/XMLSchema" xmlns:xs="http://www.w3.org/2001/XMLSchema" xmlns:p="http://schemas.microsoft.com/office/2006/metadata/properties" xmlns:ns2="2690b409-dff4-400a-84c0-fdf96062c38a" xmlns:ns3="f753bc9f-c87e-4c3e-a667-aa91027d8d2f" targetNamespace="http://schemas.microsoft.com/office/2006/metadata/properties" ma:root="true" ma:fieldsID="d7d8ba8558693d41fdca0f442a0f2611" ns2:_="" ns3:_="">
    <xsd:import namespace="2690b409-dff4-400a-84c0-fdf96062c38a"/>
    <xsd:import namespace="f753bc9f-c87e-4c3e-a667-aa91027d8d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0b409-dff4-400a-84c0-fdf96062c3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c1751a7-ec98-463c-843e-8f298683e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3bc9f-c87e-4c3e-a667-aa91027d8d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861535-7889-4eff-9f32-ef0011a4366a}" ma:internalName="TaxCatchAll" ma:showField="CatchAllData" ma:web="f753bc9f-c87e-4c3e-a667-aa91027d8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53bc9f-c87e-4c3e-a667-aa91027d8d2f" xsi:nil="true"/>
    <lcf76f155ced4ddcb4097134ff3c332f xmlns="2690b409-dff4-400a-84c0-fdf96062c38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D681E6-C2FF-4A69-AF95-13BC23C1CA48}"/>
</file>

<file path=customXml/itemProps2.xml><?xml version="1.0" encoding="utf-8"?>
<ds:datastoreItem xmlns:ds="http://schemas.openxmlformats.org/officeDocument/2006/customXml" ds:itemID="{396E9CF0-A1BF-46AF-95B8-3ADB7D36478C}"/>
</file>

<file path=customXml/itemProps3.xml><?xml version="1.0" encoding="utf-8"?>
<ds:datastoreItem xmlns:ds="http://schemas.openxmlformats.org/officeDocument/2006/customXml" ds:itemID="{BF142226-261B-459B-935B-E3E2F9EA2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Bowman, Lyle</dc:creator>
  <cp:keywords/>
  <dc:description/>
  <cp:lastModifiedBy/>
  <cp:revision/>
  <dcterms:created xsi:type="dcterms:W3CDTF">2025-04-01T18:33:36Z</dcterms:created>
  <dcterms:modified xsi:type="dcterms:W3CDTF">2026-06-23T20:04:07Z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0x01010055E0AA9ED87C3E49AEE751A1DF9EE1DD</vt:lpwstr>
  </property>
  <property fmtid="{D5CDD505-2E9C-101B-9397-08002B2CF9AE}" pid="3" name="MediaServiceImageTags">
    <vt:lpwstr/>
  </property>
</Properties>
</file>