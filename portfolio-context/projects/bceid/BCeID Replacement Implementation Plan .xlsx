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cbbc.sharepoint.com/sites/BCeIDRepl/Shared Documents/"/>
    </mc:Choice>
  </mc:AlternateContent>
  <xr:revisionPtr revIDLastSave="0" documentId="8_{B3B11B44-481E-4449-AF2A-7BAA6743E309}" xr6:coauthVersionLast="47" xr6:coauthVersionMax="47" xr10:uidLastSave="{00000000-0000-0000-0000-000000000000}"/>
  <bookViews>
    <workbookView xWindow="876" yWindow="0" windowWidth="21336" windowHeight="13452" xr2:uid="{00000000-000D-0000-FFFF-FFFF00000000}"/>
  </bookViews>
  <sheets>
    <sheet name="Plan" sheetId="1" r:id="rId1"/>
    <sheet name="Retrospective" sheetId="7" r:id="rId2"/>
    <sheet name="Contact List" sheetId="3" r:id="rId3"/>
    <sheet name="Notes" sheetId="4" r:id="rId4"/>
  </sheets>
  <definedNames>
    <definedName name="_xlnm._FilterDatabase" localSheetId="0" hidden="1">Plan!$A$10:$N$10</definedName>
    <definedName name="_xlnm.Print_Area" localSheetId="2">'Contact List'!$A$1:$H$32</definedName>
    <definedName name="_xlnm.Print_Area" localSheetId="0">Plan!#REF!</definedName>
    <definedName name="_xlnm.Print_Titles" localSheetId="0">Plan!$10:$10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1" l="1"/>
  <c r="C20" i="1"/>
  <c r="C22" i="1"/>
  <c r="C24" i="1"/>
  <c r="C26" i="1"/>
  <c r="C28" i="1"/>
  <c r="C30" i="1"/>
  <c r="C32" i="1"/>
  <c r="C16" i="1"/>
  <c r="C18" i="1"/>
  <c r="C83" i="1"/>
  <c r="C80" i="1"/>
  <c r="C85" i="1"/>
  <c r="C86" i="1" s="1"/>
  <c r="C87" i="1" s="1"/>
  <c r="C90" i="1" s="1"/>
  <c r="C91" i="1" s="1"/>
  <c r="C76" i="1"/>
  <c r="C77" i="1" s="1"/>
  <c r="C78" i="1" s="1"/>
  <c r="C74" i="1"/>
  <c r="C72" i="1"/>
  <c r="C62" i="1"/>
  <c r="C63" i="1" s="1"/>
  <c r="C64" i="1" s="1"/>
  <c r="C65" i="1" s="1"/>
  <c r="C66" i="1" s="1"/>
  <c r="C59" i="1"/>
  <c r="C60" i="1" s="1"/>
  <c r="C57" i="1"/>
  <c r="C52" i="1"/>
  <c r="C53" i="1" s="1"/>
  <c r="C54" i="1" s="1"/>
  <c r="C55" i="1" s="1"/>
  <c r="C45" i="1"/>
  <c r="C46" i="1" s="1"/>
  <c r="C47" i="1" s="1"/>
  <c r="C48" i="1" s="1"/>
  <c r="C49" i="1" s="1"/>
  <c r="C50" i="1" s="1"/>
  <c r="C42" i="1"/>
  <c r="C43" i="1" s="1"/>
  <c r="C38" i="1"/>
  <c r="C39" i="1" s="1"/>
  <c r="C40" i="1" s="1"/>
  <c r="C36" i="1"/>
  <c r="C14" i="1"/>
  <c r="C81" i="1" l="1"/>
</calcChain>
</file>

<file path=xl/sharedStrings.xml><?xml version="1.0" encoding="utf-8"?>
<sst xmlns="http://schemas.openxmlformats.org/spreadsheetml/2006/main" count="305" uniqueCount="161">
  <si>
    <t>version 1.0
03/14/2025</t>
  </si>
  <si>
    <t>BCeID Replacement  Implementation Plan</t>
  </si>
  <si>
    <t>LEGEND</t>
  </si>
  <si>
    <t>Task or time cells</t>
  </si>
  <si>
    <t>Task outstanding/not completed (close to or past due date)</t>
  </si>
  <si>
    <t>Start or end time entered (non critical)</t>
  </si>
  <si>
    <t>Review/validate results</t>
  </si>
  <si>
    <t>Start or end time entered (critical)</t>
  </si>
  <si>
    <t>Contact OPs at 3223 (to release task)</t>
  </si>
  <si>
    <t>Calculated time (based on end time of previous task)</t>
  </si>
  <si>
    <t>Contact team member</t>
  </si>
  <si>
    <t>Actual times from PCON</t>
  </si>
  <si>
    <t>Jump Point</t>
  </si>
  <si>
    <t>Task comments from last year</t>
  </si>
  <si>
    <t>Start Date</t>
  </si>
  <si>
    <t>Task #</t>
  </si>
  <si>
    <t>Task Description</t>
  </si>
  <si>
    <t>CM#</t>
  </si>
  <si>
    <t>Start Time</t>
  </si>
  <si>
    <t>End 
Time</t>
  </si>
  <si>
    <t>Dependent upon Task #</t>
  </si>
  <si>
    <t>Who</t>
  </si>
  <si>
    <t>Status</t>
  </si>
  <si>
    <t>Comment</t>
  </si>
  <si>
    <t>last year used</t>
  </si>
  <si>
    <t>Preparation for STG</t>
  </si>
  <si>
    <t xml:space="preserve"> </t>
  </si>
  <si>
    <t>CPR activities</t>
  </si>
  <si>
    <t>Data preparation</t>
  </si>
  <si>
    <t>Clone prod data to STG database</t>
  </si>
  <si>
    <t>3pm (est)</t>
  </si>
  <si>
    <t>7pm (est)</t>
  </si>
  <si>
    <t>CPR (Dan, DBA)</t>
  </si>
  <si>
    <t>Complete</t>
  </si>
  <si>
    <t>Create store procedure that uses prod data to create extract file</t>
  </si>
  <si>
    <t>CPR (Dan)</t>
  </si>
  <si>
    <t>Modify BC_USERID field with size to 100 characters to  accomodate the email address</t>
  </si>
  <si>
    <t>3pm</t>
  </si>
  <si>
    <t>7pm</t>
  </si>
  <si>
    <t>Purchase trusted root certificate from Cert authority</t>
  </si>
  <si>
    <t>CPR (Nicolas)</t>
  </si>
  <si>
    <t>load certificate to SDF and share with WorkSafeBC to complete connectivity</t>
  </si>
  <si>
    <t>create cpr-wsbc app in stg</t>
  </si>
  <si>
    <t>Create and run a stored procedure that will add the test user (xxTester) to the list of CPR IDs provided</t>
  </si>
  <si>
    <t xml:space="preserve">export and send "user preload provider data file" (Excel file) to WorkSafeBC to create STG test accounts using production GUIDs. </t>
  </si>
  <si>
    <t>This data file also includes "xxTester" user before we provide this file to WSBC.</t>
  </si>
  <si>
    <t>establish SFTP retrieval channel from CPR to Provider Portal - Networking and user config</t>
  </si>
  <si>
    <t>Telus Gateway team</t>
  </si>
  <si>
    <t>Test SFTP connectivity for CPR extract file</t>
  </si>
  <si>
    <t>CPR (Daniel)</t>
  </si>
  <si>
    <t>Integration testing in STG - test connectivity</t>
  </si>
  <si>
    <t>150, 85</t>
  </si>
  <si>
    <t>Create CPR-WSBC app user accounts for PMG, Telus testers (including Daniel and Nicolas)</t>
  </si>
  <si>
    <t>160, 210</t>
  </si>
  <si>
    <t>CPR-WSBC app functional testing - Create net new providers for testing CPR-WSBC functionality</t>
  </si>
  <si>
    <t>220, 910, 920</t>
  </si>
  <si>
    <t>CPR (Simran), PMG, PCIS</t>
  </si>
  <si>
    <t>In progress</t>
  </si>
  <si>
    <t>Activate store procedure that extracts data from prod copy</t>
  </si>
  <si>
    <r>
      <rPr>
        <sz val="8"/>
        <color rgb="FF000000"/>
        <rFont val="Verdana"/>
      </rPr>
      <t xml:space="preserve">Manually run webMethods batch job to produce </t>
    </r>
    <r>
      <rPr>
        <b/>
        <sz val="8"/>
        <color rgb="FF000000"/>
        <rFont val="Verdana"/>
      </rPr>
      <t xml:space="preserve">initial </t>
    </r>
    <r>
      <rPr>
        <sz val="8"/>
        <color rgb="FF000000"/>
        <rFont val="Verdana"/>
      </rPr>
      <t>CPR Extract XML file which will be automatically deposited on sFTP directory for Provider Portal's retrieval.</t>
    </r>
  </si>
  <si>
    <t>200, 240</t>
  </si>
  <si>
    <t>CPR (Yuriy)</t>
  </si>
  <si>
    <t>WSBC to provide csv file to TELUS for Data Conversion in CPR</t>
  </si>
  <si>
    <t>WSBC</t>
  </si>
  <si>
    <t>Run conversion job to replace BCeID user id with provider email address</t>
  </si>
  <si>
    <t xml:space="preserve">verify conversion job (provide report with before and after coversion for WSBC to verify) </t>
  </si>
  <si>
    <r>
      <rPr>
        <sz val="8"/>
        <color rgb="FF000000"/>
        <rFont val="Verdana"/>
      </rPr>
      <t xml:space="preserve">Manually run webMethods batch job to produce </t>
    </r>
    <r>
      <rPr>
        <b/>
        <sz val="8"/>
        <color rgb="FF000000"/>
        <rFont val="Verdana"/>
      </rPr>
      <t>2nd</t>
    </r>
    <r>
      <rPr>
        <sz val="8"/>
        <color rgb="FF000000"/>
        <rFont val="Verdana"/>
      </rPr>
      <t xml:space="preserve"> CPR Extract XML file which will be automatically deposited on sFTP directory for Provider Portal's retrieval.</t>
    </r>
  </si>
  <si>
    <t>Included 8 WSBC test users from the csv file, plus 5 PCIS test users, and 1 THS test user. Processing failed on PCIS side, under investigation by THS</t>
  </si>
  <si>
    <t>PCIS Activities</t>
  </si>
  <si>
    <t>sign-off of final copy of all portal artifacts</t>
  </si>
  <si>
    <t>WorkSafeBC</t>
  </si>
  <si>
    <t>WorkSafeBC review of artifacts in DEV and provide approval to move to STG</t>
  </si>
  <si>
    <t>prepare STG build package</t>
  </si>
  <si>
    <t>PCIS</t>
  </si>
  <si>
    <t>prepare STG blueprint for FIM federation</t>
  </si>
  <si>
    <t>update STG build properties as required</t>
  </si>
  <si>
    <t>produce STAGE build package</t>
  </si>
  <si>
    <t>Process updated CPR extract sent from THS</t>
  </si>
  <si>
    <t>610, 320</t>
  </si>
  <si>
    <t xml:space="preserve">run extract ingestion </t>
  </si>
  <si>
    <t>verify creation of test accounts in Provider Portal LDAP</t>
  </si>
  <si>
    <t>Perform FIM Federation set-up</t>
  </si>
  <si>
    <t>PCIS + WorkSafeBC</t>
  </si>
  <si>
    <t>provision signing and ecryption keys to be used in STG</t>
  </si>
  <si>
    <t>complete</t>
  </si>
  <si>
    <t xml:space="preserve">Create in STG "worksafebc" federation from blueprint </t>
  </si>
  <si>
    <t>export FIM service Provider metadata file for 'worksafebc' federation and provide to WorkSafeBC</t>
  </si>
  <si>
    <t>Receive identity provider metadata file from WorkSafeBC</t>
  </si>
  <si>
    <t>create partner configuration in "worksafebc" federation</t>
  </si>
  <si>
    <t>Deploy updated fim error page</t>
  </si>
  <si>
    <t>Update ths-allerror.html in file system</t>
  </si>
  <si>
    <t>Adjust pages configuration as needed to ensure saml pages are enabled</t>
  </si>
  <si>
    <t>Publish pages to domain and load all changes to runtime</t>
  </si>
  <si>
    <t>1110, 1120</t>
  </si>
  <si>
    <t>Trigger FIM error page to verify content update</t>
  </si>
  <si>
    <t>Test login journey</t>
  </si>
  <si>
    <t>920, 1960</t>
  </si>
  <si>
    <t>attempt to login using provisioned test account</t>
  </si>
  <si>
    <t>really near complete</t>
  </si>
  <si>
    <t>Deploy web server static files</t>
  </si>
  <si>
    <t>replace existing static files with new static files  on HCSS14WEB and HCSS15WEB</t>
  </si>
  <si>
    <t>Ensure obsolete / retired files are removed from static files</t>
  </si>
  <si>
    <t>Deploy portlet artifiacts</t>
  </si>
  <si>
    <t>Update login.war</t>
  </si>
  <si>
    <t>Update THS context selector portlet</t>
  </si>
  <si>
    <t>Verify portal assets</t>
  </si>
  <si>
    <t>1440, 1420, 1410</t>
  </si>
  <si>
    <t>Deploy updated WorkSafeBC.gif via WebDAV</t>
  </si>
  <si>
    <t>Add Portal Notifications portlet to login page and adjust permissions on Portal Notifications to allow anonymous users to view it</t>
  </si>
  <si>
    <t>Process updated CPR extract sent from THS with net new test accounts</t>
  </si>
  <si>
    <t>WorkSafeBC activities</t>
  </si>
  <si>
    <t>ForgeRock updates</t>
  </si>
  <si>
    <t>Verify code contains new SAML service type</t>
  </si>
  <si>
    <t>Guy Turik/Shawn Grado</t>
  </si>
  <si>
    <t>set up SAML provider</t>
  </si>
  <si>
    <t>pass Service Provider metadata file to PCIS</t>
  </si>
  <si>
    <t>ES3 updates</t>
  </si>
  <si>
    <t>create change record for ES3 updates (APIs)</t>
  </si>
  <si>
    <t>CHG0042631</t>
  </si>
  <si>
    <t xml:space="preserve">create release candidate </t>
  </si>
  <si>
    <t xml:space="preserve">Run pipelines to promote </t>
  </si>
  <si>
    <t>Security certificate in APIM</t>
  </si>
  <si>
    <t>install partner certificates in STG APIM external WAF</t>
  </si>
  <si>
    <t>Suman Muppidi</t>
  </si>
  <si>
    <t>Install partner certificates in STG APIM</t>
  </si>
  <si>
    <t>Add API to APIM</t>
  </si>
  <si>
    <t>Deploy the new API (consumed by CPR)</t>
  </si>
  <si>
    <t>RUN #1: Update users into ForgeRock [PCIS TEST Account]</t>
  </si>
  <si>
    <t>Run BCeID web serice request to retrieve email addresses</t>
  </si>
  <si>
    <t>prepare file to send to CPR team</t>
  </si>
  <si>
    <t>Victor Ermolaev @ PCIS to provide additional test user details (?)</t>
  </si>
  <si>
    <t>Notify test teams that accounts are ready</t>
  </si>
  <si>
    <t>RUN #2: Update users into ForgeRock [Additional WSBC TEST account]</t>
  </si>
  <si>
    <t xml:space="preserve">seed file with extra test </t>
  </si>
  <si>
    <t>BCeID email registration updates</t>
  </si>
  <si>
    <t>(TBD)</t>
  </si>
  <si>
    <t>How many account has email addresses</t>
  </si>
  <si>
    <t>Lyle (TBD)</t>
  </si>
  <si>
    <t>Lyle - Please update the Master plan based on current schedule</t>
  </si>
  <si>
    <t xml:space="preserve">Consenses and Signoff </t>
  </si>
  <si>
    <t>Stage sign-off : Approval to proceed with UAT</t>
  </si>
  <si>
    <t>Joint activities</t>
  </si>
  <si>
    <t>Retro Item</t>
  </si>
  <si>
    <t>Resolution</t>
  </si>
  <si>
    <t>Notes</t>
  </si>
  <si>
    <t>Communication Plan</t>
  </si>
  <si>
    <t>On Call Directory</t>
  </si>
  <si>
    <t>On Call Support Telphone Directory.xlsx (sharepoint.com)</t>
  </si>
  <si>
    <t>CPR team</t>
  </si>
  <si>
    <t>First</t>
  </si>
  <si>
    <t>Last</t>
  </si>
  <si>
    <t>Office #</t>
  </si>
  <si>
    <t>Cell/Primary</t>
  </si>
  <si>
    <t>Home/Secondary</t>
  </si>
  <si>
    <t>Role</t>
  </si>
  <si>
    <t>End Time</t>
  </si>
  <si>
    <t>PCIS Team</t>
  </si>
  <si>
    <t>WorkSafeBC team</t>
  </si>
  <si>
    <t>On call and backup</t>
  </si>
  <si>
    <t>Management</t>
  </si>
  <si>
    <t>Management - For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</si>
</sst>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5" formatCode="ddd"/>
    <numFmt numFmtId="166" formatCode="[$-409]h:mm\ AM/PM;@"/>
    <numFmt numFmtId="167" formatCode="m/d;@"/>
    <numFmt numFmtId="168" formatCode="m/d/yy;@"/>
    <numFmt numFmtId="169" formatCode="ddd\ mmm\-dd"/>
    <numFmt numFmtId="170" formatCode="0.0"/>
  </numFmts>
  <fonts count="42">
    <font>
      <sz val="11"/>
      <color theme="1"/>
      <name val="Calibri"/>
      <family val="2"/>
      <scheme val="minor"/>
    </font>
    <font>
      <sz val="9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sz val="9"/>
      <name val="Arial"/>
      <family val="2"/>
    </font>
    <font>
      <sz val="12"/>
      <name val="Verdana"/>
      <family val="2"/>
    </font>
    <font>
      <b/>
      <sz val="12"/>
      <color indexed="9"/>
      <name val="Verdana"/>
      <family val="2"/>
    </font>
    <font>
      <b/>
      <sz val="8"/>
      <color indexed="9"/>
      <name val="Verdana"/>
      <family val="2"/>
    </font>
    <font>
      <i/>
      <sz val="8"/>
      <name val="Verdana"/>
      <family val="2"/>
    </font>
    <font>
      <b/>
      <i/>
      <sz val="8"/>
      <name val="Verdana"/>
      <family val="2"/>
    </font>
    <font>
      <b/>
      <sz val="8"/>
      <color theme="0"/>
      <name val="Verdana"/>
      <family val="2"/>
    </font>
    <font>
      <b/>
      <sz val="16"/>
      <name val="Arial"/>
      <family val="2"/>
    </font>
    <font>
      <strike/>
      <sz val="8"/>
      <name val="Verdana"/>
      <family val="2"/>
    </font>
    <font>
      <sz val="11"/>
      <color theme="1"/>
      <name val="Calibri"/>
      <family val="2"/>
      <scheme val="minor"/>
    </font>
    <font>
      <sz val="8"/>
      <color rgb="FF7030A0"/>
      <name val="Verdana"/>
      <family val="2"/>
    </font>
    <font>
      <sz val="8"/>
      <color theme="1"/>
      <name val="Verdana"/>
      <family val="2"/>
    </font>
    <font>
      <b/>
      <sz val="14"/>
      <name val="Verdana"/>
      <family val="2"/>
    </font>
    <font>
      <b/>
      <sz val="9"/>
      <name val="Verdana"/>
      <family val="2"/>
    </font>
    <font>
      <sz val="9"/>
      <color indexed="8"/>
      <name val="Verdana"/>
      <family val="2"/>
    </font>
    <font>
      <b/>
      <sz val="10"/>
      <name val="Verdana"/>
      <family val="2"/>
    </font>
    <font>
      <b/>
      <sz val="8"/>
      <color theme="1"/>
      <name val="Verdana"/>
      <family val="2"/>
    </font>
    <font>
      <sz val="11"/>
      <name val="Calibri"/>
      <family val="2"/>
      <scheme val="minor"/>
    </font>
    <font>
      <sz val="9"/>
      <color theme="1"/>
      <name val="Verdana"/>
      <family val="2"/>
    </font>
    <font>
      <sz val="11"/>
      <color rgb="FFFF0000"/>
      <name val="Calibri"/>
      <family val="2"/>
      <scheme val="minor"/>
    </font>
    <font>
      <b/>
      <sz val="16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</font>
    <font>
      <sz val="14"/>
      <color indexed="8"/>
      <name val="Verdana"/>
      <family val="2"/>
    </font>
    <font>
      <sz val="14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Verdana"/>
      <family val="2"/>
    </font>
    <font>
      <b/>
      <sz val="8"/>
      <name val="Verdana"/>
    </font>
    <font>
      <sz val="8"/>
      <name val="Verdana"/>
    </font>
    <font>
      <b/>
      <sz val="8"/>
      <color rgb="FF000000"/>
      <name val="Verdana"/>
    </font>
  </fonts>
  <fills count="2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6F6F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8" fillId="0" borderId="0" applyNumberFormat="0" applyFill="0" applyBorder="0" applyAlignment="0" applyProtection="0"/>
  </cellStyleXfs>
  <cellXfs count="346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5" fillId="0" borderId="0" xfId="0" applyFont="1"/>
    <xf numFmtId="0" fontId="5" fillId="0" borderId="1" xfId="0" applyFont="1" applyBorder="1"/>
    <xf numFmtId="0" fontId="5" fillId="3" borderId="0" xfId="0" applyFont="1" applyFill="1"/>
    <xf numFmtId="0" fontId="5" fillId="0" borderId="2" xfId="0" applyFont="1" applyBorder="1"/>
    <xf numFmtId="0" fontId="19" fillId="0" borderId="3" xfId="0" applyFont="1" applyBorder="1" applyAlignment="1">
      <alignment vertical="top" wrapText="1"/>
    </xf>
    <xf numFmtId="0" fontId="2" fillId="5" borderId="1" xfId="1" applyFont="1" applyFill="1" applyBorder="1" applyAlignment="1">
      <alignment horizontal="center" vertical="top" wrapText="1"/>
    </xf>
    <xf numFmtId="0" fontId="2" fillId="7" borderId="1" xfId="1" applyFont="1" applyFill="1" applyBorder="1" applyAlignment="1">
      <alignment horizontal="left" vertical="top" wrapText="1"/>
    </xf>
    <xf numFmtId="0" fontId="3" fillId="8" borderId="1" xfId="1" applyFont="1" applyFill="1" applyBorder="1" applyAlignment="1">
      <alignment horizontal="left" vertical="top" wrapText="1"/>
    </xf>
    <xf numFmtId="0" fontId="3" fillId="8" borderId="1" xfId="1" applyFont="1" applyFill="1" applyBorder="1" applyAlignment="1">
      <alignment horizontal="center" vertical="top" wrapText="1"/>
    </xf>
    <xf numFmtId="0" fontId="2" fillId="5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164" fontId="2" fillId="7" borderId="1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20" fontId="3" fillId="0" borderId="1" xfId="1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20" fontId="15" fillId="0" borderId="1" xfId="1" applyNumberFormat="1" applyFont="1" applyBorder="1" applyAlignment="1">
      <alignment horizontal="left" vertical="top" wrapText="1"/>
    </xf>
    <xf numFmtId="20" fontId="2" fillId="5" borderId="1" xfId="1" applyNumberFormat="1" applyFont="1" applyFill="1" applyBorder="1" applyAlignment="1">
      <alignment horizontal="left" vertical="top" wrapText="1"/>
    </xf>
    <xf numFmtId="20" fontId="3" fillId="5" borderId="1" xfId="1" applyNumberFormat="1" applyFont="1" applyFill="1" applyBorder="1" applyAlignment="1">
      <alignment horizontal="left" vertical="top" wrapText="1"/>
    </xf>
    <xf numFmtId="20" fontId="2" fillId="0" borderId="1" xfId="1" applyNumberFormat="1" applyFont="1" applyBorder="1" applyAlignment="1">
      <alignment horizontal="left" vertical="top" wrapText="1"/>
    </xf>
    <xf numFmtId="20" fontId="13" fillId="0" borderId="1" xfId="1" applyNumberFormat="1" applyFont="1" applyBorder="1" applyAlignment="1">
      <alignment horizontal="left" vertical="top" wrapText="1"/>
    </xf>
    <xf numFmtId="20" fontId="2" fillId="7" borderId="1" xfId="1" applyNumberFormat="1" applyFont="1" applyFill="1" applyBorder="1" applyAlignment="1">
      <alignment horizontal="left" vertical="top" wrapText="1"/>
    </xf>
    <xf numFmtId="164" fontId="2" fillId="7" borderId="1" xfId="1" applyNumberFormat="1" applyFont="1" applyFill="1" applyBorder="1" applyAlignment="1">
      <alignment horizontal="left" vertical="top" wrapText="1"/>
    </xf>
    <xf numFmtId="20" fontId="3" fillId="8" borderId="1" xfId="1" applyNumberFormat="1" applyFont="1" applyFill="1" applyBorder="1" applyAlignment="1">
      <alignment horizontal="left" vertical="top" wrapText="1"/>
    </xf>
    <xf numFmtId="0" fontId="10" fillId="0" borderId="1" xfId="1" applyFont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3" fillId="0" borderId="1" xfId="1" applyFont="1" applyBorder="1" applyAlignment="1" applyProtection="1">
      <alignment horizontal="left" vertical="top" wrapText="1"/>
      <protection locked="0"/>
    </xf>
    <xf numFmtId="164" fontId="7" fillId="4" borderId="1" xfId="1" applyNumberFormat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/>
    </xf>
    <xf numFmtId="164" fontId="2" fillId="3" borderId="1" xfId="1" applyNumberFormat="1" applyFont="1" applyFill="1" applyBorder="1" applyAlignment="1">
      <alignment horizontal="center" vertical="top"/>
    </xf>
    <xf numFmtId="0" fontId="2" fillId="3" borderId="1" xfId="1" applyFont="1" applyFill="1" applyBorder="1" applyAlignment="1">
      <alignment horizontal="center" vertical="top" wrapText="1"/>
    </xf>
    <xf numFmtId="20" fontId="2" fillId="3" borderId="1" xfId="1" applyNumberFormat="1" applyFont="1" applyFill="1" applyBorder="1" applyAlignment="1">
      <alignment horizontal="center" vertical="top" wrapText="1"/>
    </xf>
    <xf numFmtId="164" fontId="2" fillId="5" borderId="1" xfId="1" applyNumberFormat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0" fillId="0" borderId="3" xfId="0" applyBorder="1" applyAlignment="1">
      <alignment wrapText="1"/>
    </xf>
    <xf numFmtId="0" fontId="18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0" fontId="24" fillId="0" borderId="0" xfId="0" applyFont="1"/>
    <xf numFmtId="0" fontId="3" fillId="0" borderId="0" xfId="0" applyFont="1" applyAlignment="1">
      <alignment horizontal="center" vertical="top"/>
    </xf>
    <xf numFmtId="0" fontId="23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8" fillId="1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/>
    </xf>
    <xf numFmtId="0" fontId="25" fillId="2" borderId="1" xfId="1" applyFont="1" applyFill="1" applyBorder="1" applyAlignment="1">
      <alignment horizontal="center" vertical="center" wrapText="1"/>
    </xf>
    <xf numFmtId="164" fontId="4" fillId="12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left" vertical="center" wrapText="1"/>
    </xf>
    <xf numFmtId="20" fontId="3" fillId="12" borderId="1" xfId="1" applyNumberFormat="1" applyFont="1" applyFill="1" applyBorder="1" applyAlignment="1">
      <alignment horizontal="left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5" fontId="3" fillId="0" borderId="1" xfId="1" applyNumberFormat="1" applyFont="1" applyBorder="1" applyAlignment="1">
      <alignment horizontal="center" vertical="top" wrapText="1"/>
    </xf>
    <xf numFmtId="166" fontId="5" fillId="2" borderId="1" xfId="1" applyNumberFormat="1" applyFont="1" applyFill="1" applyBorder="1" applyAlignment="1">
      <alignment horizontal="center" vertical="top"/>
    </xf>
    <xf numFmtId="166" fontId="2" fillId="3" borderId="1" xfId="1" applyNumberFormat="1" applyFont="1" applyFill="1" applyBorder="1" applyAlignment="1">
      <alignment horizontal="center" vertical="top" wrapText="1"/>
    </xf>
    <xf numFmtId="166" fontId="2" fillId="5" borderId="1" xfId="1" applyNumberFormat="1" applyFont="1" applyFill="1" applyBorder="1" applyAlignment="1">
      <alignment horizontal="center" vertical="top" wrapText="1"/>
    </xf>
    <xf numFmtId="166" fontId="2" fillId="0" borderId="1" xfId="1" applyNumberFormat="1" applyFont="1" applyBorder="1" applyAlignment="1">
      <alignment horizontal="center" vertical="top" wrapText="1"/>
    </xf>
    <xf numFmtId="166" fontId="6" fillId="12" borderId="1" xfId="1" applyNumberFormat="1" applyFont="1" applyFill="1" applyBorder="1" applyAlignment="1">
      <alignment horizontal="center" vertical="center" wrapText="1"/>
    </xf>
    <xf numFmtId="166" fontId="15" fillId="0" borderId="1" xfId="1" quotePrefix="1" applyNumberFormat="1" applyFont="1" applyBorder="1" applyAlignment="1">
      <alignment horizontal="center" vertical="top" wrapText="1"/>
    </xf>
    <xf numFmtId="166" fontId="3" fillId="0" borderId="1" xfId="1" quotePrefix="1" applyNumberFormat="1" applyFont="1" applyBorder="1" applyAlignment="1">
      <alignment horizontal="center" vertical="top" wrapText="1"/>
    </xf>
    <xf numFmtId="166" fontId="13" fillId="0" borderId="1" xfId="1" quotePrefix="1" applyNumberFormat="1" applyFont="1" applyBorder="1" applyAlignment="1">
      <alignment horizontal="center" vertical="top" wrapText="1"/>
    </xf>
    <xf numFmtId="166" fontId="3" fillId="5" borderId="1" xfId="1" applyNumberFormat="1" applyFont="1" applyFill="1" applyBorder="1" applyAlignment="1">
      <alignment horizontal="center" vertical="top" wrapText="1"/>
    </xf>
    <xf numFmtId="166" fontId="3" fillId="0" borderId="1" xfId="1" applyNumberFormat="1" applyFont="1" applyBorder="1" applyAlignment="1">
      <alignment horizontal="center" vertical="top" wrapText="1"/>
    </xf>
    <xf numFmtId="166" fontId="2" fillId="7" borderId="1" xfId="1" applyNumberFormat="1" applyFont="1" applyFill="1" applyBorder="1" applyAlignment="1">
      <alignment horizontal="center" vertical="top" wrapText="1"/>
    </xf>
    <xf numFmtId="166" fontId="3" fillId="0" borderId="1" xfId="1" applyNumberFormat="1" applyFont="1" applyBorder="1" applyAlignment="1">
      <alignment horizontal="left" vertical="top" wrapText="1"/>
    </xf>
    <xf numFmtId="166" fontId="3" fillId="7" borderId="1" xfId="1" quotePrefix="1" applyNumberFormat="1" applyFont="1" applyFill="1" applyBorder="1" applyAlignment="1">
      <alignment horizontal="center" vertical="top" wrapText="1"/>
    </xf>
    <xf numFmtId="166" fontId="3" fillId="15" borderId="1" xfId="1" applyNumberFormat="1" applyFont="1" applyFill="1" applyBorder="1" applyAlignment="1">
      <alignment horizontal="center" vertical="top" wrapText="1"/>
    </xf>
    <xf numFmtId="166" fontId="13" fillId="0" borderId="1" xfId="1" applyNumberFormat="1" applyFont="1" applyBorder="1" applyAlignment="1">
      <alignment horizontal="center" vertical="top" wrapText="1"/>
    </xf>
    <xf numFmtId="166" fontId="3" fillId="17" borderId="1" xfId="1" applyNumberFormat="1" applyFont="1" applyFill="1" applyBorder="1" applyAlignment="1">
      <alignment horizontal="center" vertical="top" wrapText="1"/>
    </xf>
    <xf numFmtId="166" fontId="3" fillId="14" borderId="1" xfId="1" applyNumberFormat="1" applyFont="1" applyFill="1" applyBorder="1" applyAlignment="1">
      <alignment horizontal="center" vertical="top" wrapText="1"/>
    </xf>
    <xf numFmtId="166" fontId="0" fillId="0" borderId="0" xfId="0" applyNumberFormat="1" applyAlignment="1">
      <alignment horizontal="center" vertical="top"/>
    </xf>
    <xf numFmtId="167" fontId="3" fillId="0" borderId="1" xfId="1" applyNumberFormat="1" applyFont="1" applyBorder="1" applyAlignment="1">
      <alignment horizontal="center" vertical="top" wrapText="1"/>
    </xf>
    <xf numFmtId="167" fontId="2" fillId="3" borderId="1" xfId="1" applyNumberFormat="1" applyFont="1" applyFill="1" applyBorder="1" applyAlignment="1">
      <alignment horizontal="center" vertical="top"/>
    </xf>
    <xf numFmtId="167" fontId="7" fillId="4" borderId="1" xfId="1" applyNumberFormat="1" applyFont="1" applyFill="1" applyBorder="1" applyAlignment="1">
      <alignment horizontal="center" vertical="top" wrapText="1"/>
    </xf>
    <xf numFmtId="167" fontId="4" fillId="12" borderId="1" xfId="1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top"/>
    </xf>
    <xf numFmtId="0" fontId="16" fillId="19" borderId="1" xfId="0" applyFont="1" applyFill="1" applyBorder="1" applyAlignment="1">
      <alignment horizontal="left" vertical="top" wrapText="1"/>
    </xf>
    <xf numFmtId="0" fontId="3" fillId="18" borderId="1" xfId="1" applyFont="1" applyFill="1" applyBorder="1" applyAlignment="1">
      <alignment horizontal="left" vertical="top" wrapText="1"/>
    </xf>
    <xf numFmtId="0" fontId="20" fillId="9" borderId="1" xfId="1" applyFont="1" applyFill="1" applyBorder="1" applyAlignment="1">
      <alignment horizontal="left" vertical="center" wrapText="1"/>
    </xf>
    <xf numFmtId="166" fontId="3" fillId="2" borderId="1" xfId="1" applyNumberFormat="1" applyFont="1" applyFill="1" applyBorder="1" applyAlignment="1">
      <alignment horizontal="left" vertical="top"/>
    </xf>
    <xf numFmtId="166" fontId="2" fillId="5" borderId="1" xfId="1" applyNumberFormat="1" applyFont="1" applyFill="1" applyBorder="1" applyAlignment="1">
      <alignment horizontal="left" vertical="top" wrapText="1"/>
    </xf>
    <xf numFmtId="166" fontId="2" fillId="0" borderId="1" xfId="1" applyNumberFormat="1" applyFont="1" applyBorder="1" applyAlignment="1">
      <alignment horizontal="left" vertical="top" wrapText="1"/>
    </xf>
    <xf numFmtId="166" fontId="3" fillId="5" borderId="1" xfId="1" applyNumberFormat="1" applyFont="1" applyFill="1" applyBorder="1" applyAlignment="1">
      <alignment horizontal="left" vertical="top" wrapText="1"/>
    </xf>
    <xf numFmtId="166" fontId="3" fillId="12" borderId="1" xfId="1" applyNumberFormat="1" applyFont="1" applyFill="1" applyBorder="1" applyAlignment="1">
      <alignment horizontal="left" vertical="center" wrapText="1"/>
    </xf>
    <xf numFmtId="166" fontId="15" fillId="0" borderId="1" xfId="1" applyNumberFormat="1" applyFont="1" applyBorder="1" applyAlignment="1">
      <alignment horizontal="left" vertical="top" wrapText="1"/>
    </xf>
    <xf numFmtId="166" fontId="13" fillId="0" borderId="1" xfId="1" applyNumberFormat="1" applyFont="1" applyBorder="1" applyAlignment="1">
      <alignment horizontal="left" vertical="top" wrapText="1"/>
    </xf>
    <xf numFmtId="166" fontId="2" fillId="7" borderId="1" xfId="1" applyNumberFormat="1" applyFont="1" applyFill="1" applyBorder="1" applyAlignment="1">
      <alignment horizontal="left" vertical="top" wrapText="1"/>
    </xf>
    <xf numFmtId="166" fontId="3" fillId="8" borderId="1" xfId="1" applyNumberFormat="1" applyFont="1" applyFill="1" applyBorder="1" applyAlignment="1">
      <alignment horizontal="left" vertical="top" wrapText="1"/>
    </xf>
    <xf numFmtId="166" fontId="16" fillId="0" borderId="0" xfId="0" applyNumberFormat="1" applyFont="1" applyAlignment="1">
      <alignment horizontal="left" vertical="top"/>
    </xf>
    <xf numFmtId="166" fontId="12" fillId="2" borderId="1" xfId="1" applyNumberFormat="1" applyFont="1" applyFill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left" vertical="top" wrapText="1" indent="1"/>
    </xf>
    <xf numFmtId="166" fontId="4" fillId="12" borderId="1" xfId="1" applyNumberFormat="1" applyFont="1" applyFill="1" applyBorder="1" applyAlignment="1">
      <alignment horizontal="left" vertical="center" wrapText="1"/>
    </xf>
    <xf numFmtId="166" fontId="9" fillId="0" borderId="1" xfId="1" applyNumberFormat="1" applyFont="1" applyBorder="1" applyAlignment="1">
      <alignment horizontal="left" vertical="top" wrapText="1"/>
    </xf>
    <xf numFmtId="166" fontId="0" fillId="0" borderId="0" xfId="0" applyNumberFormat="1" applyAlignment="1">
      <alignment wrapText="1"/>
    </xf>
    <xf numFmtId="20" fontId="3" fillId="11" borderId="1" xfId="1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9" fillId="2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168" fontId="3" fillId="0" borderId="1" xfId="1" applyNumberFormat="1" applyFont="1" applyBorder="1" applyAlignment="1">
      <alignment horizontal="center" vertical="top" wrapText="1"/>
    </xf>
    <xf numFmtId="0" fontId="5" fillId="11" borderId="0" xfId="0" applyFont="1" applyFill="1"/>
    <xf numFmtId="0" fontId="1" fillId="14" borderId="1" xfId="0" applyFont="1" applyFill="1" applyBorder="1" applyAlignment="1">
      <alignment horizontal="left" vertical="top" wrapText="1"/>
    </xf>
    <xf numFmtId="0" fontId="27" fillId="14" borderId="0" xfId="0" applyFont="1" applyFill="1" applyAlignment="1">
      <alignment vertical="center" wrapText="1"/>
    </xf>
    <xf numFmtId="0" fontId="26" fillId="11" borderId="0" xfId="0" applyFont="1" applyFill="1"/>
    <xf numFmtId="0" fontId="28" fillId="0" borderId="0" xfId="2"/>
    <xf numFmtId="0" fontId="29" fillId="0" borderId="1" xfId="0" applyFont="1" applyBorder="1" applyAlignment="1">
      <alignment horizontal="left" vertical="top" wrapText="1"/>
    </xf>
    <xf numFmtId="0" fontId="29" fillId="0" borderId="1" xfId="1" applyFont="1" applyBorder="1" applyAlignment="1" applyProtection="1">
      <alignment horizontal="left" vertical="top" wrapText="1"/>
      <protection locked="0"/>
    </xf>
    <xf numFmtId="0" fontId="29" fillId="0" borderId="1" xfId="1" applyFont="1" applyBorder="1" applyAlignment="1">
      <alignment horizontal="left" vertical="top" wrapText="1"/>
    </xf>
    <xf numFmtId="0" fontId="30" fillId="0" borderId="0" xfId="0" applyFont="1" applyAlignment="1">
      <alignment vertical="center"/>
    </xf>
    <xf numFmtId="0" fontId="31" fillId="0" borderId="1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19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6" xfId="0" applyBorder="1"/>
    <xf numFmtId="0" fontId="23" fillId="0" borderId="6" xfId="0" applyFont="1" applyBorder="1" applyAlignment="1">
      <alignment vertical="center"/>
    </xf>
    <xf numFmtId="0" fontId="19" fillId="0" borderId="6" xfId="0" applyFont="1" applyBorder="1" applyAlignment="1">
      <alignment horizontal="left" vertical="center" wrapText="1"/>
    </xf>
    <xf numFmtId="0" fontId="28" fillId="0" borderId="6" xfId="2" applyBorder="1"/>
    <xf numFmtId="0" fontId="0" fillId="0" borderId="6" xfId="0" applyBorder="1" applyAlignment="1">
      <alignment wrapText="1"/>
    </xf>
    <xf numFmtId="0" fontId="32" fillId="5" borderId="1" xfId="1" applyFont="1" applyFill="1" applyBorder="1" applyAlignment="1">
      <alignment horizontal="left" vertical="top" wrapText="1"/>
    </xf>
    <xf numFmtId="166" fontId="3" fillId="0" borderId="4" xfId="1" applyNumberFormat="1" applyFont="1" applyBorder="1" applyAlignment="1">
      <alignment horizontal="left" vertical="top" wrapText="1"/>
    </xf>
    <xf numFmtId="166" fontId="22" fillId="0" borderId="6" xfId="0" applyNumberFormat="1" applyFont="1" applyBorder="1" applyAlignment="1">
      <alignment horizontal="center" vertical="top"/>
    </xf>
    <xf numFmtId="166" fontId="2" fillId="5" borderId="9" xfId="1" applyNumberFormat="1" applyFont="1" applyFill="1" applyBorder="1" applyAlignment="1">
      <alignment horizontal="center" vertical="top" wrapText="1"/>
    </xf>
    <xf numFmtId="0" fontId="16" fillId="0" borderId="6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center" vertical="top" wrapText="1"/>
    </xf>
    <xf numFmtId="0" fontId="2" fillId="5" borderId="9" xfId="1" applyFont="1" applyFill="1" applyBorder="1" applyAlignment="1">
      <alignment horizontal="left" vertical="top" wrapText="1"/>
    </xf>
    <xf numFmtId="166" fontId="3" fillId="0" borderId="2" xfId="1" applyNumberFormat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6" fontId="3" fillId="0" borderId="4" xfId="1" applyNumberFormat="1" applyFont="1" applyBorder="1" applyAlignment="1">
      <alignment horizontal="left" vertical="center" wrapText="1"/>
    </xf>
    <xf numFmtId="166" fontId="3" fillId="0" borderId="5" xfId="1" applyNumberFormat="1" applyFont="1" applyBorder="1" applyAlignment="1">
      <alignment horizontal="left" vertical="center" wrapText="1"/>
    </xf>
    <xf numFmtId="166" fontId="0" fillId="0" borderId="6" xfId="0" applyNumberForma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left" vertical="center" wrapText="1"/>
    </xf>
    <xf numFmtId="166" fontId="3" fillId="0" borderId="6" xfId="1" applyNumberFormat="1" applyFont="1" applyBorder="1" applyAlignment="1">
      <alignment horizontal="left" vertical="center" wrapText="1"/>
    </xf>
    <xf numFmtId="166" fontId="3" fillId="0" borderId="10" xfId="1" applyNumberFormat="1" applyFont="1" applyBorder="1" applyAlignment="1">
      <alignment horizontal="left" vertical="center" wrapText="1"/>
    </xf>
    <xf numFmtId="0" fontId="2" fillId="5" borderId="10" xfId="1" applyFont="1" applyFill="1" applyBorder="1" applyAlignment="1">
      <alignment horizontal="center" vertical="top" wrapText="1"/>
    </xf>
    <xf numFmtId="0" fontId="3" fillId="0" borderId="6" xfId="1" applyFont="1" applyBorder="1" applyAlignment="1">
      <alignment horizontal="left" vertical="top" wrapText="1"/>
    </xf>
    <xf numFmtId="20" fontId="3" fillId="5" borderId="9" xfId="1" applyNumberFormat="1" applyFont="1" applyFill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left" vertical="top"/>
    </xf>
    <xf numFmtId="20" fontId="2" fillId="5" borderId="9" xfId="1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20" fillId="8" borderId="4" xfId="1" applyNumberFormat="1" applyFont="1" applyFill="1" applyBorder="1" applyAlignment="1">
      <alignment vertical="center" wrapText="1"/>
    </xf>
    <xf numFmtId="164" fontId="2" fillId="8" borderId="5" xfId="1" applyNumberFormat="1" applyFont="1" applyFill="1" applyBorder="1" applyAlignment="1">
      <alignment vertical="center" wrapText="1"/>
    </xf>
    <xf numFmtId="0" fontId="25" fillId="8" borderId="2" xfId="1" applyFont="1" applyFill="1" applyBorder="1" applyAlignment="1">
      <alignment vertical="center" wrapText="1"/>
    </xf>
    <xf numFmtId="0" fontId="3" fillId="0" borderId="6" xfId="1" applyFont="1" applyBorder="1" applyAlignment="1">
      <alignment horizontal="center" vertical="top" wrapText="1"/>
    </xf>
    <xf numFmtId="0" fontId="2" fillId="8" borderId="1" xfId="1" applyFont="1" applyFill="1" applyBorder="1" applyAlignment="1">
      <alignment horizontal="left" vertical="top" wrapText="1"/>
    </xf>
    <xf numFmtId="166" fontId="2" fillId="8" borderId="1" xfId="1" applyNumberFormat="1" applyFont="1" applyFill="1" applyBorder="1" applyAlignment="1">
      <alignment horizontal="left" vertical="top" wrapText="1"/>
    </xf>
    <xf numFmtId="166" fontId="2" fillId="8" borderId="1" xfId="1" applyNumberFormat="1" applyFont="1" applyFill="1" applyBorder="1" applyAlignment="1">
      <alignment horizontal="center" vertical="top" wrapText="1"/>
    </xf>
    <xf numFmtId="0" fontId="0" fillId="8" borderId="0" xfId="0" applyFill="1"/>
    <xf numFmtId="20" fontId="3" fillId="0" borderId="13" xfId="1" applyNumberFormat="1" applyFont="1" applyBorder="1" applyAlignment="1">
      <alignment horizontal="left" vertical="center" wrapText="1"/>
    </xf>
    <xf numFmtId="166" fontId="3" fillId="0" borderId="6" xfId="1" applyNumberFormat="1" applyFont="1" applyBorder="1" applyAlignment="1">
      <alignment horizontal="left" vertical="top" wrapText="1"/>
    </xf>
    <xf numFmtId="20" fontId="3" fillId="0" borderId="6" xfId="1" applyNumberFormat="1" applyFont="1" applyBorder="1" applyAlignment="1">
      <alignment horizontal="left" vertical="top" wrapText="1"/>
    </xf>
    <xf numFmtId="166" fontId="3" fillId="0" borderId="6" xfId="1" quotePrefix="1" applyNumberFormat="1" applyFont="1" applyBorder="1" applyAlignment="1">
      <alignment horizontal="center" vertical="top" wrapText="1"/>
    </xf>
    <xf numFmtId="0" fontId="29" fillId="0" borderId="6" xfId="0" applyFont="1" applyBorder="1" applyAlignment="1">
      <alignment vertical="center"/>
    </xf>
    <xf numFmtId="0" fontId="31" fillId="0" borderId="6" xfId="0" applyFont="1" applyBorder="1"/>
    <xf numFmtId="0" fontId="16" fillId="0" borderId="2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28" fillId="0" borderId="0" xfId="2" applyAlignment="1">
      <alignment vertical="top"/>
    </xf>
    <xf numFmtId="166" fontId="3" fillId="0" borderId="6" xfId="1" applyNumberFormat="1" applyFont="1" applyBorder="1" applyAlignment="1">
      <alignment horizontal="left" vertical="top" wrapText="1" indent="1"/>
    </xf>
    <xf numFmtId="20" fontId="3" fillId="0" borderId="15" xfId="1" applyNumberFormat="1" applyFont="1" applyBorder="1" applyAlignment="1">
      <alignment horizontal="left" vertical="center" wrapText="1"/>
    </xf>
    <xf numFmtId="16" fontId="3" fillId="0" borderId="1" xfId="1" applyNumberFormat="1" applyFont="1" applyBorder="1" applyAlignment="1">
      <alignment horizontal="left" vertical="top" wrapText="1"/>
    </xf>
    <xf numFmtId="166" fontId="3" fillId="0" borderId="7" xfId="1" applyNumberFormat="1" applyFont="1" applyBorder="1" applyAlignment="1">
      <alignment horizontal="left" vertical="center" wrapText="1"/>
    </xf>
    <xf numFmtId="166" fontId="3" fillId="0" borderId="14" xfId="1" applyNumberFormat="1" applyFont="1" applyBorder="1" applyAlignment="1">
      <alignment horizontal="left" vertical="center" wrapText="1"/>
    </xf>
    <xf numFmtId="166" fontId="3" fillId="0" borderId="16" xfId="1" applyNumberFormat="1" applyFont="1" applyBorder="1" applyAlignment="1">
      <alignment horizontal="left" vertical="center" wrapText="1"/>
    </xf>
    <xf numFmtId="166" fontId="0" fillId="0" borderId="16" xfId="0" applyNumberFormat="1" applyBorder="1" applyAlignment="1">
      <alignment horizontal="center" vertical="center"/>
    </xf>
    <xf numFmtId="166" fontId="3" fillId="0" borderId="4" xfId="1" quotePrefix="1" applyNumberFormat="1" applyFont="1" applyBorder="1" applyAlignment="1">
      <alignment horizontal="center" vertical="top" wrapText="1"/>
    </xf>
    <xf numFmtId="166" fontId="2" fillId="5" borderId="4" xfId="1" applyNumberFormat="1" applyFont="1" applyFill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2" fillId="5" borderId="2" xfId="1" applyFont="1" applyFill="1" applyBorder="1" applyAlignment="1">
      <alignment horizontal="center" vertical="top" wrapText="1"/>
    </xf>
    <xf numFmtId="0" fontId="34" fillId="0" borderId="0" xfId="0" applyFont="1" applyAlignment="1">
      <alignment horizontal="left" vertical="top" wrapText="1"/>
    </xf>
    <xf numFmtId="0" fontId="35" fillId="0" borderId="0" xfId="0" applyFont="1" applyAlignment="1">
      <alignment wrapText="1"/>
    </xf>
    <xf numFmtId="0" fontId="35" fillId="0" borderId="0" xfId="0" applyFont="1"/>
    <xf numFmtId="0" fontId="35" fillId="0" borderId="3" xfId="0" applyFont="1" applyBorder="1" applyAlignment="1">
      <alignment wrapText="1"/>
    </xf>
    <xf numFmtId="0" fontId="36" fillId="0" borderId="0" xfId="2" applyFont="1"/>
    <xf numFmtId="0" fontId="37" fillId="8" borderId="1" xfId="2" applyFont="1" applyFill="1" applyBorder="1" applyAlignment="1">
      <alignment horizontal="left" vertical="top" wrapText="1"/>
    </xf>
    <xf numFmtId="0" fontId="28" fillId="0" borderId="13" xfId="2" applyBorder="1" applyAlignment="1">
      <alignment vertical="top" wrapText="1"/>
    </xf>
    <xf numFmtId="0" fontId="37" fillId="0" borderId="6" xfId="2" applyFont="1" applyBorder="1" applyAlignment="1">
      <alignment vertical="top" wrapText="1"/>
    </xf>
    <xf numFmtId="16" fontId="29" fillId="8" borderId="1" xfId="1" applyNumberFormat="1" applyFont="1" applyFill="1" applyBorder="1" applyAlignment="1">
      <alignment horizontal="left" vertical="top" wrapText="1"/>
    </xf>
    <xf numFmtId="165" fontId="3" fillId="23" borderId="1" xfId="1" applyNumberFormat="1" applyFont="1" applyFill="1" applyBorder="1" applyAlignment="1">
      <alignment horizontal="center" vertical="top" wrapText="1"/>
    </xf>
    <xf numFmtId="0" fontId="33" fillId="23" borderId="1" xfId="1" applyFont="1" applyFill="1" applyBorder="1" applyAlignment="1">
      <alignment horizontal="left" vertical="top" wrapText="1"/>
    </xf>
    <xf numFmtId="166" fontId="3" fillId="23" borderId="1" xfId="1" applyNumberFormat="1" applyFont="1" applyFill="1" applyBorder="1" applyAlignment="1">
      <alignment horizontal="left" vertical="top" wrapText="1"/>
    </xf>
    <xf numFmtId="20" fontId="3" fillId="23" borderId="1" xfId="1" applyNumberFormat="1" applyFont="1" applyFill="1" applyBorder="1" applyAlignment="1">
      <alignment horizontal="left" vertical="top" wrapText="1"/>
    </xf>
    <xf numFmtId="166" fontId="3" fillId="23" borderId="1" xfId="1" quotePrefix="1" applyNumberFormat="1" applyFont="1" applyFill="1" applyBorder="1" applyAlignment="1">
      <alignment horizontal="center" vertical="top" wrapText="1"/>
    </xf>
    <xf numFmtId="0" fontId="3" fillId="23" borderId="1" xfId="1" applyFont="1" applyFill="1" applyBorder="1" applyAlignment="1">
      <alignment horizontal="center" vertical="top" wrapText="1"/>
    </xf>
    <xf numFmtId="0" fontId="3" fillId="23" borderId="9" xfId="0" applyFont="1" applyFill="1" applyBorder="1" applyAlignment="1">
      <alignment horizontal="left" vertical="top" wrapText="1"/>
    </xf>
    <xf numFmtId="0" fontId="0" fillId="23" borderId="0" xfId="0" applyFill="1"/>
    <xf numFmtId="166" fontId="3" fillId="23" borderId="1" xfId="1" applyNumberFormat="1" applyFont="1" applyFill="1" applyBorder="1" applyAlignment="1">
      <alignment horizontal="left" vertical="top" wrapText="1" indent="1"/>
    </xf>
    <xf numFmtId="20" fontId="2" fillId="23" borderId="1" xfId="1" applyNumberFormat="1" applyFont="1" applyFill="1" applyBorder="1" applyAlignment="1">
      <alignment horizontal="left" vertical="top" wrapText="1"/>
    </xf>
    <xf numFmtId="166" fontId="2" fillId="23" borderId="1" xfId="1" applyNumberFormat="1" applyFont="1" applyFill="1" applyBorder="1" applyAlignment="1">
      <alignment horizontal="left" vertical="top" wrapText="1"/>
    </xf>
    <xf numFmtId="166" fontId="2" fillId="23" borderId="1" xfId="1" applyNumberFormat="1" applyFont="1" applyFill="1" applyBorder="1" applyAlignment="1">
      <alignment horizontal="center" vertical="top" wrapText="1"/>
    </xf>
    <xf numFmtId="0" fontId="29" fillId="0" borderId="13" xfId="0" applyFont="1" applyBorder="1" applyAlignment="1">
      <alignment vertical="center" wrapText="1"/>
    </xf>
    <xf numFmtId="16" fontId="3" fillId="23" borderId="1" xfId="1" applyNumberFormat="1" applyFont="1" applyFill="1" applyBorder="1" applyAlignment="1">
      <alignment horizontal="left" vertical="top" wrapText="1"/>
    </xf>
    <xf numFmtId="0" fontId="37" fillId="0" borderId="1" xfId="2" applyFont="1" applyBorder="1" applyAlignment="1">
      <alignment horizontal="left" vertical="top"/>
    </xf>
    <xf numFmtId="0" fontId="3" fillId="0" borderId="17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/>
    </xf>
    <xf numFmtId="0" fontId="37" fillId="0" borderId="0" xfId="0" applyFont="1" applyAlignment="1">
      <alignment vertical="top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31" fillId="0" borderId="9" xfId="0" applyFont="1" applyBorder="1" applyAlignment="1">
      <alignment horizontal="left" vertical="top"/>
    </xf>
    <xf numFmtId="0" fontId="19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/>
    </xf>
    <xf numFmtId="0" fontId="1" fillId="8" borderId="6" xfId="0" applyFont="1" applyFill="1" applyBorder="1" applyAlignment="1">
      <alignment horizontal="left" vertical="top" wrapText="1"/>
    </xf>
    <xf numFmtId="0" fontId="19" fillId="8" borderId="6" xfId="0" applyFont="1" applyFill="1" applyBorder="1" applyAlignment="1">
      <alignment horizontal="left" vertical="top" wrapText="1"/>
    </xf>
    <xf numFmtId="0" fontId="23" fillId="8" borderId="0" xfId="0" applyFont="1" applyFill="1" applyAlignment="1">
      <alignment horizontal="left" vertical="top"/>
    </xf>
    <xf numFmtId="0" fontId="19" fillId="8" borderId="0" xfId="0" applyFont="1" applyFill="1" applyAlignment="1">
      <alignment horizontal="left" vertical="top" wrapText="1"/>
    </xf>
    <xf numFmtId="0" fontId="23" fillId="0" borderId="6" xfId="0" applyFont="1" applyBorder="1" applyAlignment="1">
      <alignment horizontal="left" vertical="center"/>
    </xf>
    <xf numFmtId="0" fontId="19" fillId="8" borderId="9" xfId="0" applyFont="1" applyFill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26" fillId="0" borderId="18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vertical="top" wrapText="1"/>
    </xf>
    <xf numFmtId="0" fontId="7" fillId="4" borderId="4" xfId="1" applyFont="1" applyFill="1" applyBorder="1" applyAlignment="1">
      <alignment horizontal="left" vertical="center" wrapText="1"/>
    </xf>
    <xf numFmtId="0" fontId="7" fillId="4" borderId="5" xfId="1" applyFont="1" applyFill="1" applyBorder="1" applyAlignment="1">
      <alignment horizontal="left"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29" fillId="0" borderId="4" xfId="1" applyFont="1" applyBorder="1" applyAlignment="1">
      <alignment horizontal="left" vertical="top" wrapText="1"/>
    </xf>
    <xf numFmtId="166" fontId="9" fillId="0" borderId="5" xfId="1" applyNumberFormat="1" applyFont="1" applyBorder="1" applyAlignment="1">
      <alignment horizontal="left" vertical="top" wrapText="1"/>
    </xf>
    <xf numFmtId="20" fontId="3" fillId="0" borderId="5" xfId="1" applyNumberFormat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7" fillId="4" borderId="8" xfId="1" applyFont="1" applyFill="1" applyBorder="1" applyAlignment="1">
      <alignment horizontal="left" vertical="center" wrapText="1"/>
    </xf>
    <xf numFmtId="166" fontId="2" fillId="5" borderId="4" xfId="1" applyNumberFormat="1" applyFont="1" applyFill="1" applyBorder="1" applyAlignment="1">
      <alignment horizontal="left" vertical="top" wrapText="1"/>
    </xf>
    <xf numFmtId="20" fontId="2" fillId="5" borderId="0" xfId="1" applyNumberFormat="1" applyFont="1" applyFill="1" applyAlignment="1">
      <alignment horizontal="left" vertical="top" wrapText="1"/>
    </xf>
    <xf numFmtId="166" fontId="2" fillId="5" borderId="5" xfId="1" applyNumberFormat="1" applyFont="1" applyFill="1" applyBorder="1" applyAlignment="1">
      <alignment horizontal="left" vertical="top" wrapText="1"/>
    </xf>
    <xf numFmtId="166" fontId="2" fillId="5" borderId="0" xfId="1" applyNumberFormat="1" applyFont="1" applyFill="1" applyAlignment="1">
      <alignment horizontal="center" vertical="top" wrapText="1"/>
    </xf>
    <xf numFmtId="169" fontId="2" fillId="5" borderId="1" xfId="1" applyNumberFormat="1" applyFont="1" applyFill="1" applyBorder="1" applyAlignment="1">
      <alignment horizontal="center" vertical="top"/>
    </xf>
    <xf numFmtId="169" fontId="2" fillId="8" borderId="1" xfId="1" applyNumberFormat="1" applyFont="1" applyFill="1" applyBorder="1" applyAlignment="1">
      <alignment horizontal="center" vertical="top"/>
    </xf>
    <xf numFmtId="0" fontId="5" fillId="8" borderId="0" xfId="0" applyFont="1" applyFill="1"/>
    <xf numFmtId="170" fontId="3" fillId="0" borderId="2" xfId="1" applyNumberFormat="1" applyFont="1" applyBorder="1" applyAlignment="1">
      <alignment vertical="center" wrapText="1"/>
    </xf>
    <xf numFmtId="170" fontId="3" fillId="0" borderId="1" xfId="1" applyNumberFormat="1" applyFont="1" applyBorder="1" applyAlignment="1" applyProtection="1">
      <alignment horizontal="left" vertical="top" wrapText="1"/>
      <protection locked="0"/>
    </xf>
    <xf numFmtId="170" fontId="3" fillId="21" borderId="1" xfId="1" applyNumberFormat="1" applyFont="1" applyFill="1" applyBorder="1" applyAlignment="1">
      <alignment horizontal="center" vertical="top" wrapText="1"/>
    </xf>
    <xf numFmtId="170" fontId="3" fillId="18" borderId="1" xfId="1" applyNumberFormat="1" applyFont="1" applyFill="1" applyBorder="1" applyAlignment="1">
      <alignment horizontal="left" vertical="top" wrapText="1"/>
    </xf>
    <xf numFmtId="170" fontId="3" fillId="20" borderId="1" xfId="1" applyNumberFormat="1" applyFont="1" applyFill="1" applyBorder="1" applyAlignment="1">
      <alignment horizontal="left" vertical="top" wrapText="1"/>
    </xf>
    <xf numFmtId="170" fontId="3" fillId="13" borderId="1" xfId="1" applyNumberFormat="1" applyFont="1" applyFill="1" applyBorder="1" applyAlignment="1">
      <alignment horizontal="left" vertical="top" wrapText="1"/>
    </xf>
    <xf numFmtId="170" fontId="21" fillId="16" borderId="1" xfId="0" applyNumberFormat="1" applyFont="1" applyFill="1" applyBorder="1" applyAlignment="1">
      <alignment horizontal="left" vertical="top" wrapText="1"/>
    </xf>
    <xf numFmtId="170" fontId="2" fillId="3" borderId="1" xfId="1" applyNumberFormat="1" applyFont="1" applyFill="1" applyBorder="1" applyAlignment="1">
      <alignment horizontal="left" vertical="top" wrapText="1"/>
    </xf>
    <xf numFmtId="170" fontId="4" fillId="12" borderId="1" xfId="1" applyNumberFormat="1" applyFont="1" applyFill="1" applyBorder="1" applyAlignment="1" applyProtection="1">
      <alignment horizontal="left" vertical="center" wrapText="1"/>
      <protection locked="0"/>
    </xf>
    <xf numFmtId="170" fontId="11" fillId="6" borderId="1" xfId="1" applyNumberFormat="1" applyFont="1" applyFill="1" applyBorder="1" applyAlignment="1" applyProtection="1">
      <alignment horizontal="left" vertical="top" wrapText="1"/>
      <protection locked="0"/>
    </xf>
    <xf numFmtId="170" fontId="2" fillId="5" borderId="1" xfId="1" applyNumberFormat="1" applyFont="1" applyFill="1" applyBorder="1" applyAlignment="1" applyProtection="1">
      <alignment horizontal="left" vertical="top" wrapText="1"/>
      <protection locked="0"/>
    </xf>
    <xf numFmtId="170" fontId="40" fillId="0" borderId="1" xfId="1" applyNumberFormat="1" applyFont="1" applyBorder="1" applyAlignment="1" applyProtection="1">
      <alignment horizontal="left" vertical="top" wrapText="1"/>
      <protection locked="0"/>
    </xf>
    <xf numFmtId="170" fontId="2" fillId="5" borderId="1" xfId="1" applyNumberFormat="1" applyFont="1" applyFill="1" applyBorder="1" applyAlignment="1">
      <alignment horizontal="left" vertical="top" wrapText="1"/>
    </xf>
    <xf numFmtId="170" fontId="8" fillId="4" borderId="1" xfId="1" applyNumberFormat="1" applyFont="1" applyFill="1" applyBorder="1" applyAlignment="1">
      <alignment horizontal="left" vertical="center" wrapText="1"/>
    </xf>
    <xf numFmtId="170" fontId="3" fillId="8" borderId="1" xfId="1" applyNumberFormat="1" applyFont="1" applyFill="1" applyBorder="1" applyAlignment="1" applyProtection="1">
      <alignment horizontal="left" vertical="top" wrapText="1"/>
      <protection locked="0"/>
    </xf>
    <xf numFmtId="170" fontId="3" fillId="23" borderId="1" xfId="1" applyNumberFormat="1" applyFont="1" applyFill="1" applyBorder="1" applyAlignment="1" applyProtection="1">
      <alignment horizontal="left" vertical="top" wrapText="1"/>
      <protection locked="0"/>
    </xf>
    <xf numFmtId="170" fontId="0" fillId="0" borderId="0" xfId="0" applyNumberFormat="1" applyAlignment="1">
      <alignment horizontal="left"/>
    </xf>
    <xf numFmtId="170" fontId="3" fillId="2" borderId="1" xfId="1" applyNumberFormat="1" applyFont="1" applyFill="1" applyBorder="1" applyAlignment="1">
      <alignment horizontal="left" vertical="top"/>
    </xf>
    <xf numFmtId="170" fontId="3" fillId="0" borderId="1" xfId="1" applyNumberFormat="1" applyFont="1" applyBorder="1" applyAlignment="1">
      <alignment horizontal="left" vertical="top" wrapText="1"/>
    </xf>
    <xf numFmtId="170" fontId="2" fillId="3" borderId="1" xfId="1" applyNumberFormat="1" applyFont="1" applyFill="1" applyBorder="1" applyAlignment="1">
      <alignment horizontal="center" vertical="top" wrapText="1"/>
    </xf>
    <xf numFmtId="170" fontId="3" fillId="12" borderId="1" xfId="1" applyNumberFormat="1" applyFont="1" applyFill="1" applyBorder="1" applyAlignment="1">
      <alignment horizontal="left" vertical="center" wrapText="1"/>
    </xf>
    <xf numFmtId="170" fontId="15" fillId="0" borderId="1" xfId="1" applyNumberFormat="1" applyFont="1" applyBorder="1" applyAlignment="1">
      <alignment horizontal="left" vertical="top" wrapText="1"/>
    </xf>
    <xf numFmtId="170" fontId="13" fillId="0" borderId="1" xfId="1" applyNumberFormat="1" applyFont="1" applyBorder="1" applyAlignment="1">
      <alignment horizontal="left" vertical="top" wrapText="1"/>
    </xf>
    <xf numFmtId="170" fontId="3" fillId="5" borderId="1" xfId="1" applyNumberFormat="1" applyFont="1" applyFill="1" applyBorder="1" applyAlignment="1">
      <alignment horizontal="left" vertical="top" wrapText="1"/>
    </xf>
    <xf numFmtId="170" fontId="3" fillId="5" borderId="9" xfId="1" applyNumberFormat="1" applyFont="1" applyFill="1" applyBorder="1" applyAlignment="1">
      <alignment horizontal="left" vertical="top" wrapText="1"/>
    </xf>
    <xf numFmtId="170" fontId="3" fillId="0" borderId="6" xfId="1" applyNumberFormat="1" applyFont="1" applyBorder="1" applyAlignment="1">
      <alignment horizontal="left" vertical="top" wrapText="1"/>
    </xf>
    <xf numFmtId="170" fontId="16" fillId="0" borderId="0" xfId="0" applyNumberFormat="1" applyFont="1" applyAlignment="1">
      <alignment horizontal="left" vertical="top"/>
    </xf>
    <xf numFmtId="170" fontId="2" fillId="7" borderId="1" xfId="1" applyNumberFormat="1" applyFont="1" applyFill="1" applyBorder="1" applyAlignment="1">
      <alignment horizontal="left" vertical="top" wrapText="1"/>
    </xf>
    <xf numFmtId="170" fontId="29" fillId="0" borderId="4" xfId="1" applyNumberFormat="1" applyFont="1" applyBorder="1" applyAlignment="1">
      <alignment horizontal="left" vertical="top" wrapText="1"/>
    </xf>
    <xf numFmtId="170" fontId="7" fillId="4" borderId="5" xfId="1" applyNumberFormat="1" applyFont="1" applyFill="1" applyBorder="1" applyAlignment="1">
      <alignment horizontal="left" vertical="center" wrapText="1"/>
    </xf>
    <xf numFmtId="170" fontId="3" fillId="0" borderId="4" xfId="1" applyNumberFormat="1" applyFont="1" applyBorder="1" applyAlignment="1">
      <alignment horizontal="left" vertical="top" wrapText="1"/>
    </xf>
    <xf numFmtId="170" fontId="2" fillId="5" borderId="12" xfId="1" applyNumberFormat="1" applyFont="1" applyFill="1" applyBorder="1" applyAlignment="1">
      <alignment horizontal="left" vertical="top" wrapText="1"/>
    </xf>
    <xf numFmtId="170" fontId="3" fillId="0" borderId="12" xfId="0" applyNumberFormat="1" applyFont="1" applyBorder="1" applyAlignment="1">
      <alignment horizontal="left" vertical="top"/>
    </xf>
    <xf numFmtId="170" fontId="16" fillId="0" borderId="6" xfId="0" applyNumberFormat="1" applyFont="1" applyBorder="1" applyAlignment="1">
      <alignment horizontal="left" vertical="top"/>
    </xf>
    <xf numFmtId="170" fontId="0" fillId="0" borderId="6" xfId="0" applyNumberFormat="1" applyBorder="1"/>
    <xf numFmtId="170" fontId="28" fillId="0" borderId="6" xfId="2" applyNumberFormat="1" applyBorder="1" applyAlignment="1">
      <alignment horizontal="left" vertical="top"/>
    </xf>
    <xf numFmtId="170" fontId="3" fillId="8" borderId="1" xfId="1" applyNumberFormat="1" applyFont="1" applyFill="1" applyBorder="1" applyAlignment="1">
      <alignment horizontal="left" vertical="top" wrapText="1"/>
    </xf>
    <xf numFmtId="170" fontId="2" fillId="0" borderId="1" xfId="1" applyNumberFormat="1" applyFont="1" applyBorder="1" applyAlignment="1">
      <alignment horizontal="left" vertical="top" wrapText="1"/>
    </xf>
    <xf numFmtId="170" fontId="3" fillId="23" borderId="1" xfId="1" applyNumberFormat="1" applyFont="1" applyFill="1" applyBorder="1" applyAlignment="1">
      <alignment horizontal="left" vertical="top" wrapText="1"/>
    </xf>
    <xf numFmtId="170" fontId="2" fillId="23" borderId="1" xfId="1" applyNumberFormat="1" applyFont="1" applyFill="1" applyBorder="1" applyAlignment="1">
      <alignment horizontal="left" vertical="top" wrapText="1"/>
    </xf>
    <xf numFmtId="170" fontId="3" fillId="5" borderId="6" xfId="1" applyNumberFormat="1" applyFont="1" applyFill="1" applyBorder="1" applyAlignment="1">
      <alignment horizontal="left" vertical="top" wrapText="1"/>
    </xf>
    <xf numFmtId="170" fontId="3" fillId="11" borderId="1" xfId="1" applyNumberFormat="1" applyFont="1" applyFill="1" applyBorder="1" applyAlignment="1">
      <alignment horizontal="left" vertical="top" wrapText="1"/>
    </xf>
    <xf numFmtId="170" fontId="2" fillId="11" borderId="1" xfId="1" applyNumberFormat="1" applyFont="1" applyFill="1" applyBorder="1" applyAlignment="1">
      <alignment horizontal="left" vertical="top" wrapText="1"/>
    </xf>
    <xf numFmtId="170" fontId="16" fillId="11" borderId="0" xfId="0" applyNumberFormat="1" applyFont="1" applyFill="1" applyAlignment="1">
      <alignment horizontal="left" vertical="top"/>
    </xf>
    <xf numFmtId="1" fontId="2" fillId="5" borderId="1" xfId="1" applyNumberFormat="1" applyFont="1" applyFill="1" applyBorder="1" applyAlignment="1" applyProtection="1">
      <alignment horizontal="left" vertical="top" wrapText="1"/>
      <protection locked="0"/>
    </xf>
    <xf numFmtId="1" fontId="3" fillId="0" borderId="1" xfId="1" applyNumberFormat="1" applyFont="1" applyBorder="1" applyAlignment="1" applyProtection="1">
      <alignment horizontal="left" vertical="top" wrapText="1"/>
      <protection locked="0"/>
    </xf>
    <xf numFmtId="1" fontId="2" fillId="5" borderId="1" xfId="1" applyNumberFormat="1" applyFont="1" applyFill="1" applyBorder="1" applyAlignment="1">
      <alignment horizontal="left" vertical="top" wrapText="1"/>
    </xf>
    <xf numFmtId="1" fontId="2" fillId="11" borderId="1" xfId="1" applyNumberFormat="1" applyFont="1" applyFill="1" applyBorder="1" applyAlignment="1">
      <alignment horizontal="left" vertical="top" wrapText="1"/>
    </xf>
    <xf numFmtId="0" fontId="16" fillId="11" borderId="0" xfId="0" applyFont="1" applyFill="1" applyAlignment="1">
      <alignment horizontal="left" vertical="top"/>
    </xf>
    <xf numFmtId="1" fontId="3" fillId="0" borderId="1" xfId="1" applyNumberFormat="1" applyFont="1" applyBorder="1" applyAlignment="1">
      <alignment horizontal="left" vertical="top" wrapText="1"/>
    </xf>
    <xf numFmtId="1" fontId="3" fillId="0" borderId="1" xfId="1" applyNumberFormat="1" applyFont="1" applyBorder="1" applyAlignment="1">
      <alignment horizontal="center" vertical="top" wrapText="1"/>
    </xf>
    <xf numFmtId="1" fontId="3" fillId="24" borderId="1" xfId="1" applyNumberFormat="1" applyFont="1" applyFill="1" applyBorder="1" applyAlignment="1">
      <alignment horizontal="center" vertical="top" wrapText="1"/>
    </xf>
    <xf numFmtId="1" fontId="3" fillId="11" borderId="1" xfId="1" applyNumberFormat="1" applyFont="1" applyFill="1" applyBorder="1" applyAlignment="1">
      <alignment horizontal="center" vertical="top" wrapText="1"/>
    </xf>
    <xf numFmtId="0" fontId="29" fillId="0" borderId="1" xfId="0" applyFont="1" applyBorder="1" applyAlignment="1">
      <alignment vertical="center" wrapText="1"/>
    </xf>
    <xf numFmtId="166" fontId="0" fillId="0" borderId="1" xfId="0" applyNumberFormat="1" applyBorder="1" applyAlignment="1">
      <alignment horizontal="center" vertical="center"/>
    </xf>
    <xf numFmtId="170" fontId="28" fillId="0" borderId="1" xfId="2" applyNumberFormat="1" applyBorder="1" applyAlignment="1">
      <alignment horizontal="left" vertical="top"/>
    </xf>
    <xf numFmtId="1" fontId="40" fillId="0" borderId="1" xfId="1" applyNumberFormat="1" applyFont="1" applyBorder="1" applyAlignment="1">
      <alignment horizontal="left" vertical="top" wrapText="1"/>
    </xf>
    <xf numFmtId="0" fontId="3" fillId="26" borderId="1" xfId="1" applyFont="1" applyFill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0" fontId="33" fillId="26" borderId="1" xfId="1" applyFont="1" applyFill="1" applyBorder="1" applyAlignment="1">
      <alignment horizontal="left" vertical="top" wrapText="1"/>
    </xf>
    <xf numFmtId="170" fontId="3" fillId="0" borderId="5" xfId="1" applyNumberFormat="1" applyFont="1" applyBorder="1" applyAlignment="1">
      <alignment horizontal="left" vertical="top" wrapText="1"/>
    </xf>
    <xf numFmtId="169" fontId="39" fillId="5" borderId="1" xfId="1" applyNumberFormat="1" applyFont="1" applyFill="1" applyBorder="1" applyAlignment="1">
      <alignment horizontal="center" vertical="top"/>
    </xf>
    <xf numFmtId="0" fontId="39" fillId="5" borderId="1" xfId="1" applyFont="1" applyFill="1" applyBorder="1" applyAlignment="1">
      <alignment horizontal="left" vertical="top" wrapText="1"/>
    </xf>
    <xf numFmtId="1" fontId="39" fillId="5" borderId="1" xfId="1" applyNumberFormat="1" applyFont="1" applyFill="1" applyBorder="1" applyAlignment="1">
      <alignment horizontal="left" vertical="top" wrapText="1"/>
    </xf>
    <xf numFmtId="170" fontId="39" fillId="5" borderId="1" xfId="1" applyNumberFormat="1" applyFont="1" applyFill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  <xf numFmtId="1" fontId="28" fillId="0" borderId="1" xfId="2" applyNumberFormat="1" applyBorder="1" applyAlignment="1">
      <alignment horizontal="left" vertical="top"/>
    </xf>
    <xf numFmtId="1" fontId="3" fillId="25" borderId="1" xfId="1" applyNumberFormat="1" applyFont="1" applyFill="1" applyBorder="1" applyAlignment="1">
      <alignment horizontal="left" vertical="top" wrapText="1"/>
    </xf>
    <xf numFmtId="1" fontId="16" fillId="11" borderId="0" xfId="0" applyNumberFormat="1" applyFont="1" applyFill="1" applyAlignment="1">
      <alignment horizontal="left" vertical="top"/>
    </xf>
    <xf numFmtId="169" fontId="3" fillId="8" borderId="1" xfId="1" applyNumberFormat="1" applyFont="1" applyFill="1" applyBorder="1" applyAlignment="1">
      <alignment horizontal="center" vertical="top"/>
    </xf>
    <xf numFmtId="0" fontId="29" fillId="27" borderId="1" xfId="1" applyFont="1" applyFill="1" applyBorder="1" applyAlignment="1" applyProtection="1">
      <alignment horizontal="left" vertical="top" wrapText="1"/>
      <protection locked="0"/>
    </xf>
    <xf numFmtId="0" fontId="3" fillId="27" borderId="1" xfId="1" applyFont="1" applyFill="1" applyBorder="1" applyAlignment="1">
      <alignment horizontal="left" vertical="top" wrapText="1"/>
    </xf>
    <xf numFmtId="0" fontId="3" fillId="27" borderId="1" xfId="1" applyFont="1" applyFill="1" applyBorder="1" applyAlignment="1" applyProtection="1">
      <alignment horizontal="left" vertical="top" wrapText="1"/>
      <protection locked="0"/>
    </xf>
    <xf numFmtId="0" fontId="3" fillId="9" borderId="4" xfId="1" applyFont="1" applyFill="1" applyBorder="1" applyAlignment="1">
      <alignment horizontal="center" vertical="top" wrapText="1"/>
    </xf>
    <xf numFmtId="0" fontId="3" fillId="9" borderId="5" xfId="1" applyFont="1" applyFill="1" applyBorder="1" applyAlignment="1">
      <alignment horizontal="center" vertical="top" wrapText="1"/>
    </xf>
    <xf numFmtId="0" fontId="3" fillId="9" borderId="2" xfId="1" applyFont="1" applyFill="1" applyBorder="1" applyAlignment="1">
      <alignment horizontal="center" vertical="top" wrapText="1"/>
    </xf>
    <xf numFmtId="167" fontId="3" fillId="9" borderId="4" xfId="1" applyNumberFormat="1" applyFont="1" applyFill="1" applyBorder="1" applyAlignment="1">
      <alignment horizontal="center" vertical="top" wrapText="1"/>
    </xf>
    <xf numFmtId="167" fontId="3" fillId="9" borderId="5" xfId="1" applyNumberFormat="1" applyFont="1" applyFill="1" applyBorder="1" applyAlignment="1">
      <alignment horizontal="center" vertical="top" wrapText="1"/>
    </xf>
    <xf numFmtId="167" fontId="3" fillId="9" borderId="2" xfId="1" applyNumberFormat="1" applyFont="1" applyFill="1" applyBorder="1" applyAlignment="1">
      <alignment horizontal="center" vertical="top" wrapText="1"/>
    </xf>
    <xf numFmtId="164" fontId="20" fillId="2" borderId="1" xfId="1" applyNumberFormat="1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0" fillId="0" borderId="4" xfId="1" applyFont="1" applyBorder="1" applyAlignment="1">
      <alignment horizontal="left" vertical="top" wrapText="1"/>
    </xf>
    <xf numFmtId="0" fontId="10" fillId="0" borderId="5" xfId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25" fillId="8" borderId="4" xfId="1" applyFont="1" applyFill="1" applyBorder="1" applyAlignment="1">
      <alignment horizontal="left" vertical="center" wrapText="1"/>
    </xf>
    <xf numFmtId="0" fontId="25" fillId="8" borderId="5" xfId="1" applyFont="1" applyFill="1" applyBorder="1" applyAlignment="1">
      <alignment horizontal="left" vertical="center" wrapText="1"/>
    </xf>
    <xf numFmtId="0" fontId="7" fillId="4" borderId="4" xfId="1" applyFont="1" applyFill="1" applyBorder="1" applyAlignment="1">
      <alignment horizontal="left" vertical="center" wrapText="1"/>
    </xf>
    <xf numFmtId="0" fontId="7" fillId="4" borderId="5" xfId="1" applyFont="1" applyFill="1" applyBorder="1" applyAlignment="1">
      <alignment horizontal="left"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FFFFCC"/>
      <color rgb="FFE6F6FA"/>
      <color rgb="FF00FFCC"/>
      <color rgb="FFFFFF66"/>
      <color rgb="FFCCFFCC"/>
      <color rgb="FFCC00CC"/>
      <color rgb="FF66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C:\:x:\r\sites\ts_OnCallSup\_layouts\15\WopiFrame.aspx%3fsourcedoc=%7b5c56b3e8-59f0-40a2-b35a-ab83f7799dc6%7d&amp;action=defaul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topLeftCell="A10" zoomScale="110" zoomScaleNormal="110" workbookViewId="0">
      <pane ySplit="1" topLeftCell="A23" activePane="bottomLeft" state="frozen"/>
      <selection pane="bottomLeft" activeCell="A32" sqref="A32"/>
      <selection activeCell="A10" sqref="A10"/>
    </sheetView>
  </sheetViews>
  <sheetFormatPr defaultRowHeight="14.45"/>
  <cols>
    <col min="1" max="1" width="12.42578125" style="87" bestFit="1" customWidth="1"/>
    <col min="2" max="2" width="9.7109375" style="20" customWidth="1"/>
    <col min="3" max="3" width="9.42578125" style="261" bestFit="1" customWidth="1"/>
    <col min="4" max="4" width="44.85546875" style="1" customWidth="1"/>
    <col min="5" max="5" width="9" style="105" customWidth="1"/>
    <col min="6" max="6" width="17.140625" style="44" customWidth="1"/>
    <col min="7" max="7" width="11" style="100" customWidth="1"/>
    <col min="8" max="8" width="13.85546875" style="82" customWidth="1"/>
    <col min="9" max="9" width="13.5703125" style="82" customWidth="1"/>
    <col min="10" max="10" width="17.140625" style="271" customWidth="1"/>
    <col min="11" max="11" width="21" style="18" customWidth="1"/>
    <col min="12" max="12" width="12.85546875" style="49" customWidth="1"/>
    <col min="13" max="13" width="32.42578125" style="34" customWidth="1"/>
    <col min="14" max="14" width="7.42578125" hidden="1" customWidth="1"/>
    <col min="15" max="15" width="31.28515625" customWidth="1"/>
  </cols>
  <sheetData>
    <row r="1" spans="1:15" ht="87.75" customHeight="1">
      <c r="A1" s="324" t="s">
        <v>0</v>
      </c>
      <c r="B1" s="325"/>
      <c r="C1" s="326"/>
      <c r="D1" s="56" t="s">
        <v>1</v>
      </c>
      <c r="E1" s="101"/>
      <c r="F1" s="43"/>
      <c r="G1" s="91"/>
      <c r="H1" s="65"/>
      <c r="I1" s="65"/>
      <c r="J1" s="262"/>
      <c r="K1" s="37"/>
      <c r="L1" s="38"/>
      <c r="M1" s="30"/>
      <c r="N1" s="48"/>
    </row>
    <row r="2" spans="1:15" ht="24.75" customHeight="1">
      <c r="A2" s="153"/>
      <c r="B2" s="154"/>
      <c r="C2" s="245"/>
      <c r="D2" s="333"/>
      <c r="E2" s="334"/>
      <c r="F2" s="334"/>
      <c r="G2" s="334"/>
      <c r="H2" s="334"/>
      <c r="I2" s="334"/>
      <c r="J2" s="334"/>
      <c r="K2" s="334"/>
      <c r="L2" s="334"/>
      <c r="M2" s="155"/>
      <c r="N2" s="48"/>
      <c r="O2" s="115"/>
    </row>
    <row r="3" spans="1:15" s="2" customFormat="1">
      <c r="A3" s="321"/>
      <c r="B3" s="322"/>
      <c r="C3" s="323"/>
      <c r="D3" s="90" t="s">
        <v>2</v>
      </c>
      <c r="E3" s="318"/>
      <c r="F3" s="319"/>
      <c r="G3" s="319"/>
      <c r="H3" s="319"/>
      <c r="I3" s="319"/>
      <c r="J3" s="319"/>
      <c r="K3" s="319"/>
      <c r="L3" s="319"/>
      <c r="M3" s="320"/>
    </row>
    <row r="4" spans="1:15" s="2" customFormat="1" ht="15.6" customHeight="1">
      <c r="A4" s="83"/>
      <c r="B4" s="64"/>
      <c r="C4" s="246"/>
      <c r="D4" s="29" t="s">
        <v>3</v>
      </c>
      <c r="E4" s="76"/>
      <c r="F4" s="35"/>
      <c r="G4" s="327"/>
      <c r="H4" s="328"/>
      <c r="I4" s="329"/>
      <c r="J4" s="263"/>
      <c r="K4" s="15"/>
      <c r="L4" s="15"/>
      <c r="M4" s="31"/>
    </row>
    <row r="5" spans="1:15" s="2" customFormat="1" ht="14.45" customHeight="1">
      <c r="A5" s="83"/>
      <c r="B5" s="64"/>
      <c r="C5" s="247"/>
      <c r="D5" s="16" t="s">
        <v>4</v>
      </c>
      <c r="E5" s="76"/>
      <c r="F5" s="78"/>
      <c r="G5" s="330" t="s">
        <v>5</v>
      </c>
      <c r="H5" s="331"/>
      <c r="I5" s="331"/>
      <c r="J5" s="331"/>
      <c r="K5" s="332"/>
      <c r="L5" s="31"/>
      <c r="M5" s="31"/>
    </row>
    <row r="6" spans="1:15" s="2" customFormat="1" ht="14.45" customHeight="1">
      <c r="A6" s="83"/>
      <c r="B6" s="64"/>
      <c r="C6" s="248"/>
      <c r="D6" s="16" t="s">
        <v>6</v>
      </c>
      <c r="E6" s="76"/>
      <c r="F6" s="81"/>
      <c r="G6" s="330" t="s">
        <v>7</v>
      </c>
      <c r="H6" s="331"/>
      <c r="I6" s="331"/>
      <c r="J6" s="331"/>
      <c r="K6" s="332"/>
      <c r="L6" s="31"/>
      <c r="M6" s="31"/>
    </row>
    <row r="7" spans="1:15" s="2" customFormat="1">
      <c r="A7" s="83"/>
      <c r="B7" s="64"/>
      <c r="C7" s="249"/>
      <c r="D7" s="16" t="s">
        <v>8</v>
      </c>
      <c r="E7" s="76"/>
      <c r="F7" s="80"/>
      <c r="G7" s="330" t="s">
        <v>9</v>
      </c>
      <c r="H7" s="331"/>
      <c r="I7" s="331"/>
      <c r="J7" s="331"/>
      <c r="K7" s="332"/>
      <c r="L7" s="31"/>
      <c r="M7" s="31"/>
    </row>
    <row r="8" spans="1:15" s="2" customFormat="1">
      <c r="A8" s="83"/>
      <c r="B8" s="64"/>
      <c r="C8" s="250"/>
      <c r="D8" s="16" t="s">
        <v>10</v>
      </c>
      <c r="E8" s="76"/>
      <c r="F8" s="88"/>
      <c r="G8" s="330" t="s">
        <v>11</v>
      </c>
      <c r="H8" s="331"/>
      <c r="I8" s="331"/>
      <c r="J8" s="331"/>
      <c r="K8" s="332"/>
      <c r="L8" s="31"/>
      <c r="M8" s="31"/>
    </row>
    <row r="9" spans="1:15" s="2" customFormat="1">
      <c r="A9" s="83"/>
      <c r="B9" s="64"/>
      <c r="C9" s="251"/>
      <c r="D9" s="16" t="s">
        <v>12</v>
      </c>
      <c r="E9" s="76"/>
      <c r="F9" s="106"/>
      <c r="G9" s="330" t="s">
        <v>13</v>
      </c>
      <c r="H9" s="331"/>
      <c r="I9" s="331"/>
      <c r="J9" s="331"/>
      <c r="K9" s="332"/>
      <c r="L9" s="31"/>
      <c r="M9" s="31"/>
    </row>
    <row r="10" spans="1:15" ht="30.6">
      <c r="A10" s="84" t="s">
        <v>14</v>
      </c>
      <c r="B10" s="39"/>
      <c r="C10" s="252" t="s">
        <v>15</v>
      </c>
      <c r="D10" s="40" t="s">
        <v>16</v>
      </c>
      <c r="E10" s="66"/>
      <c r="F10" s="41" t="s">
        <v>17</v>
      </c>
      <c r="G10" s="66"/>
      <c r="H10" s="66" t="s">
        <v>18</v>
      </c>
      <c r="I10" s="66" t="s">
        <v>19</v>
      </c>
      <c r="J10" s="264" t="s">
        <v>20</v>
      </c>
      <c r="K10" s="40" t="s">
        <v>21</v>
      </c>
      <c r="L10" s="40" t="s">
        <v>22</v>
      </c>
      <c r="M10" s="33" t="s">
        <v>23</v>
      </c>
      <c r="N10" s="33" t="s">
        <v>24</v>
      </c>
    </row>
    <row r="11" spans="1:15" s="63" customFormat="1" ht="24.6" customHeight="1">
      <c r="A11" s="86"/>
      <c r="B11" s="57"/>
      <c r="C11" s="253"/>
      <c r="D11" s="58" t="s">
        <v>25</v>
      </c>
      <c r="E11" s="103"/>
      <c r="F11" s="59"/>
      <c r="G11" s="95"/>
      <c r="H11" s="69"/>
      <c r="I11" s="69"/>
      <c r="J11" s="265"/>
      <c r="K11" s="60"/>
      <c r="L11" s="61" t="s">
        <v>26</v>
      </c>
      <c r="M11" s="62"/>
      <c r="N11"/>
    </row>
    <row r="12" spans="1:15" s="4" customFormat="1" ht="29.45" customHeight="1">
      <c r="A12" s="85"/>
      <c r="B12" s="36"/>
      <c r="C12" s="254"/>
      <c r="D12" s="335" t="s">
        <v>27</v>
      </c>
      <c r="E12" s="336"/>
      <c r="F12" s="336"/>
      <c r="G12" s="336"/>
      <c r="H12" s="336"/>
      <c r="I12" s="336"/>
      <c r="J12" s="336"/>
      <c r="K12" s="336"/>
      <c r="L12" s="336"/>
      <c r="M12" s="337"/>
    </row>
    <row r="13" spans="1:15">
      <c r="A13" s="242">
        <v>45728</v>
      </c>
      <c r="B13" s="42"/>
      <c r="C13" s="289">
        <v>100</v>
      </c>
      <c r="D13" s="14" t="s">
        <v>28</v>
      </c>
      <c r="E13" s="255"/>
      <c r="F13" s="22"/>
      <c r="G13" s="92"/>
      <c r="H13" s="67"/>
      <c r="I13" s="67"/>
      <c r="J13" s="257"/>
      <c r="K13" s="10"/>
      <c r="L13" s="10"/>
      <c r="M13" s="14"/>
    </row>
    <row r="14" spans="1:15" ht="23.25" customHeight="1">
      <c r="A14" s="243">
        <v>45729</v>
      </c>
      <c r="B14" s="64"/>
      <c r="C14" s="290">
        <f>C13+10</f>
        <v>110</v>
      </c>
      <c r="D14" s="35" t="s">
        <v>29</v>
      </c>
      <c r="E14" s="246"/>
      <c r="F14" s="19"/>
      <c r="G14" s="76"/>
      <c r="H14" s="70" t="s">
        <v>30</v>
      </c>
      <c r="I14" s="70" t="s">
        <v>31</v>
      </c>
      <c r="J14" s="294"/>
      <c r="K14" s="15" t="s">
        <v>32</v>
      </c>
      <c r="L14" s="15" t="s">
        <v>33</v>
      </c>
      <c r="M14" s="116"/>
    </row>
    <row r="15" spans="1:15" ht="23.25" customHeight="1">
      <c r="A15" s="243">
        <v>45733</v>
      </c>
      <c r="B15" s="64"/>
      <c r="C15" s="290">
        <v>120</v>
      </c>
      <c r="D15" s="35" t="s">
        <v>34</v>
      </c>
      <c r="E15" s="246"/>
      <c r="F15" s="19"/>
      <c r="G15" s="76"/>
      <c r="H15" s="70"/>
      <c r="I15" s="70"/>
      <c r="J15" s="294"/>
      <c r="K15" s="15" t="s">
        <v>35</v>
      </c>
      <c r="L15" s="15" t="s">
        <v>33</v>
      </c>
      <c r="M15" s="116"/>
    </row>
    <row r="16" spans="1:15" ht="23.25" customHeight="1">
      <c r="A16" s="243">
        <v>45734</v>
      </c>
      <c r="B16" s="64"/>
      <c r="C16" s="290">
        <f t="shared" ref="C16" si="0">C15+10</f>
        <v>130</v>
      </c>
      <c r="D16" s="317" t="s">
        <v>36</v>
      </c>
      <c r="E16" s="256"/>
      <c r="F16" s="19"/>
      <c r="G16" s="76"/>
      <c r="H16" s="70" t="s">
        <v>37</v>
      </c>
      <c r="I16" s="70" t="s">
        <v>38</v>
      </c>
      <c r="J16" s="294"/>
      <c r="K16" s="15" t="s">
        <v>35</v>
      </c>
      <c r="L16" s="15" t="s">
        <v>33</v>
      </c>
      <c r="M16" s="116"/>
    </row>
    <row r="17" spans="1:15">
      <c r="A17" s="243">
        <v>45735</v>
      </c>
      <c r="B17" s="64"/>
      <c r="C17" s="290">
        <v>140</v>
      </c>
      <c r="D17" s="316" t="s">
        <v>39</v>
      </c>
      <c r="E17" s="76"/>
      <c r="F17" s="21"/>
      <c r="G17" s="96"/>
      <c r="H17" s="70"/>
      <c r="I17" s="70"/>
      <c r="J17" s="266"/>
      <c r="K17" s="15" t="s">
        <v>40</v>
      </c>
      <c r="L17" s="15" t="s">
        <v>33</v>
      </c>
      <c r="M17" s="31"/>
      <c r="O17" s="169"/>
    </row>
    <row r="18" spans="1:15" ht="20.45">
      <c r="A18" s="243">
        <v>45735</v>
      </c>
      <c r="B18" s="64"/>
      <c r="C18" s="290">
        <f t="shared" ref="C18:C28" si="1">C17+10</f>
        <v>150</v>
      </c>
      <c r="D18" s="316" t="s">
        <v>41</v>
      </c>
      <c r="E18" s="76"/>
      <c r="F18" s="25"/>
      <c r="G18" s="97"/>
      <c r="H18" s="72"/>
      <c r="I18" s="72"/>
      <c r="J18" s="267"/>
      <c r="K18" s="15" t="s">
        <v>40</v>
      </c>
      <c r="L18" s="15" t="s">
        <v>33</v>
      </c>
      <c r="M18" s="31"/>
    </row>
    <row r="19" spans="1:15" ht="23.25" customHeight="1">
      <c r="A19" s="243">
        <v>45736</v>
      </c>
      <c r="B19" s="64"/>
      <c r="C19" s="290">
        <v>160</v>
      </c>
      <c r="D19" s="35" t="s">
        <v>42</v>
      </c>
      <c r="E19" s="256"/>
      <c r="F19" s="19"/>
      <c r="G19" s="76"/>
      <c r="H19" s="70" t="s">
        <v>37</v>
      </c>
      <c r="I19" s="70" t="s">
        <v>38</v>
      </c>
      <c r="J19" s="294"/>
      <c r="K19" s="15" t="s">
        <v>35</v>
      </c>
      <c r="L19" s="15" t="s">
        <v>33</v>
      </c>
      <c r="M19" s="116"/>
    </row>
    <row r="20" spans="1:15" ht="20.45">
      <c r="A20" s="243">
        <v>45737</v>
      </c>
      <c r="B20" s="64"/>
      <c r="C20" s="290">
        <f t="shared" si="1"/>
        <v>170</v>
      </c>
      <c r="D20" s="315" t="s">
        <v>43</v>
      </c>
      <c r="E20" s="102"/>
      <c r="F20" s="19"/>
      <c r="G20" s="76"/>
      <c r="H20" s="71"/>
      <c r="I20" s="71"/>
      <c r="J20" s="301"/>
      <c r="K20" s="15" t="s">
        <v>35</v>
      </c>
      <c r="L20" s="15" t="s">
        <v>33</v>
      </c>
      <c r="M20" s="116"/>
    </row>
    <row r="21" spans="1:15" ht="30.6">
      <c r="A21" s="243">
        <v>45737</v>
      </c>
      <c r="B21" s="64"/>
      <c r="C21" s="290">
        <v>180</v>
      </c>
      <c r="D21" s="317" t="s">
        <v>44</v>
      </c>
      <c r="E21" s="256"/>
      <c r="F21" s="19"/>
      <c r="G21" s="76"/>
      <c r="H21" s="70"/>
      <c r="I21" s="70"/>
      <c r="J21" s="294">
        <v>170</v>
      </c>
      <c r="K21" s="15" t="s">
        <v>35</v>
      </c>
      <c r="L21" s="15" t="s">
        <v>33</v>
      </c>
      <c r="M21" s="116" t="s">
        <v>45</v>
      </c>
    </row>
    <row r="22" spans="1:15" ht="20.45">
      <c r="A22" s="243">
        <v>45739</v>
      </c>
      <c r="B22" s="64"/>
      <c r="C22" s="290">
        <f t="shared" si="1"/>
        <v>190</v>
      </c>
      <c r="D22" s="316" t="s">
        <v>46</v>
      </c>
      <c r="E22" s="76"/>
      <c r="F22" s="19"/>
      <c r="G22" s="76"/>
      <c r="H22" s="71"/>
      <c r="I22" s="71"/>
      <c r="J22" s="263"/>
      <c r="K22" s="15" t="s">
        <v>47</v>
      </c>
      <c r="L22" s="15" t="s">
        <v>33</v>
      </c>
      <c r="M22" s="31"/>
    </row>
    <row r="23" spans="1:15">
      <c r="A23" s="243">
        <v>45739</v>
      </c>
      <c r="B23" s="64"/>
      <c r="C23" s="290">
        <v>200</v>
      </c>
      <c r="D23" s="317" t="s">
        <v>48</v>
      </c>
      <c r="E23" s="256"/>
      <c r="F23" s="19"/>
      <c r="G23" s="76"/>
      <c r="H23" s="70"/>
      <c r="I23" s="70"/>
      <c r="J23" s="294">
        <v>190</v>
      </c>
      <c r="K23" s="15" t="s">
        <v>49</v>
      </c>
      <c r="L23" s="15" t="s">
        <v>33</v>
      </c>
      <c r="M23" s="116"/>
    </row>
    <row r="24" spans="1:15" ht="23.25" customHeight="1">
      <c r="A24" s="243">
        <v>45740</v>
      </c>
      <c r="B24" s="64"/>
      <c r="C24" s="290">
        <f t="shared" si="1"/>
        <v>210</v>
      </c>
      <c r="D24" s="35" t="s">
        <v>50</v>
      </c>
      <c r="E24" s="256"/>
      <c r="F24" s="19"/>
      <c r="G24" s="76"/>
      <c r="H24" s="70"/>
      <c r="I24" s="70"/>
      <c r="J24" s="294" t="s">
        <v>51</v>
      </c>
      <c r="K24" s="15" t="s">
        <v>35</v>
      </c>
      <c r="L24" s="15" t="s">
        <v>33</v>
      </c>
      <c r="M24" s="116"/>
    </row>
    <row r="25" spans="1:15" ht="20.45">
      <c r="A25" s="243">
        <v>45740</v>
      </c>
      <c r="B25" s="64"/>
      <c r="C25" s="290">
        <v>220</v>
      </c>
      <c r="D25" s="117" t="s">
        <v>52</v>
      </c>
      <c r="E25" s="102"/>
      <c r="F25" s="19"/>
      <c r="G25" s="76"/>
      <c r="H25" s="71"/>
      <c r="I25" s="71"/>
      <c r="J25" s="301" t="s">
        <v>53</v>
      </c>
      <c r="K25" s="15" t="s">
        <v>35</v>
      </c>
      <c r="L25" s="15" t="s">
        <v>33</v>
      </c>
      <c r="M25" s="116"/>
    </row>
    <row r="26" spans="1:15" ht="20.45">
      <c r="A26" s="243">
        <v>45740</v>
      </c>
      <c r="B26" s="64"/>
      <c r="C26" s="290">
        <f t="shared" si="1"/>
        <v>230</v>
      </c>
      <c r="D26" s="35" t="s">
        <v>54</v>
      </c>
      <c r="E26" s="246"/>
      <c r="F26" s="19"/>
      <c r="G26" s="76"/>
      <c r="H26" s="70"/>
      <c r="I26" s="70"/>
      <c r="J26" s="294" t="s">
        <v>55</v>
      </c>
      <c r="K26" s="15" t="s">
        <v>56</v>
      </c>
      <c r="L26" s="15" t="s">
        <v>57</v>
      </c>
      <c r="M26" s="116"/>
    </row>
    <row r="27" spans="1:15" ht="20.45">
      <c r="A27" s="243">
        <v>45740</v>
      </c>
      <c r="B27" s="64"/>
      <c r="C27" s="290">
        <v>240</v>
      </c>
      <c r="D27" s="16" t="s">
        <v>58</v>
      </c>
      <c r="E27" s="76"/>
      <c r="F27" s="19"/>
      <c r="G27" s="76"/>
      <c r="H27" s="71"/>
      <c r="I27" s="71"/>
      <c r="J27" s="294">
        <v>170</v>
      </c>
      <c r="K27" s="15" t="s">
        <v>35</v>
      </c>
      <c r="L27" s="15" t="s">
        <v>33</v>
      </c>
      <c r="M27" s="31"/>
    </row>
    <row r="28" spans="1:15" ht="32.25" customHeight="1">
      <c r="A28" s="243">
        <v>45740</v>
      </c>
      <c r="B28" s="64"/>
      <c r="C28" s="290">
        <f t="shared" si="1"/>
        <v>250</v>
      </c>
      <c r="D28" s="303" t="s">
        <v>59</v>
      </c>
      <c r="E28" s="102"/>
      <c r="F28" s="19"/>
      <c r="G28" s="76"/>
      <c r="H28" s="71"/>
      <c r="I28" s="71"/>
      <c r="J28" s="294" t="s">
        <v>60</v>
      </c>
      <c r="K28" s="15" t="s">
        <v>61</v>
      </c>
      <c r="L28" s="15" t="s">
        <v>33</v>
      </c>
      <c r="M28" s="31"/>
    </row>
    <row r="29" spans="1:15" ht="21.75">
      <c r="A29" s="243">
        <v>45743</v>
      </c>
      <c r="B29" s="64"/>
      <c r="C29" s="290">
        <v>260</v>
      </c>
      <c r="D29" s="16" t="s">
        <v>62</v>
      </c>
      <c r="E29" s="76"/>
      <c r="F29" s="25"/>
      <c r="G29" s="97"/>
      <c r="H29" s="72"/>
      <c r="I29" s="72"/>
      <c r="J29" s="294">
        <v>180</v>
      </c>
      <c r="K29" s="15" t="s">
        <v>63</v>
      </c>
      <c r="L29" s="15" t="s">
        <v>33</v>
      </c>
      <c r="M29" s="31"/>
      <c r="O29" s="1"/>
    </row>
    <row r="30" spans="1:15" ht="21.75">
      <c r="A30" s="243">
        <v>45744</v>
      </c>
      <c r="B30" s="64"/>
      <c r="C30" s="290">
        <f>C29+10</f>
        <v>270</v>
      </c>
      <c r="D30" s="16" t="s">
        <v>64</v>
      </c>
      <c r="E30" s="76"/>
      <c r="F30" s="25"/>
      <c r="G30" s="97"/>
      <c r="H30" s="72"/>
      <c r="I30" s="79"/>
      <c r="J30" s="267"/>
      <c r="K30" s="15" t="s">
        <v>35</v>
      </c>
      <c r="L30" s="15" t="s">
        <v>33</v>
      </c>
      <c r="M30" s="31"/>
      <c r="O30" s="152"/>
    </row>
    <row r="31" spans="1:15" ht="21.75">
      <c r="A31" s="243">
        <v>45744</v>
      </c>
      <c r="B31" s="64"/>
      <c r="C31" s="290">
        <v>280</v>
      </c>
      <c r="D31" s="302" t="s">
        <v>65</v>
      </c>
      <c r="E31" s="76"/>
      <c r="F31" s="25"/>
      <c r="G31" s="97"/>
      <c r="H31" s="72"/>
      <c r="I31" s="79"/>
      <c r="J31" s="267"/>
      <c r="K31" s="15" t="s">
        <v>35</v>
      </c>
      <c r="L31" s="15" t="s">
        <v>33</v>
      </c>
      <c r="M31" s="32"/>
    </row>
    <row r="32" spans="1:15" ht="42.75">
      <c r="A32" s="243">
        <v>45747</v>
      </c>
      <c r="B32" s="64"/>
      <c r="C32" s="290">
        <f>C31+10</f>
        <v>290</v>
      </c>
      <c r="D32" s="304" t="s">
        <v>66</v>
      </c>
      <c r="E32" s="76"/>
      <c r="F32" s="25"/>
      <c r="G32" s="97"/>
      <c r="H32" s="72"/>
      <c r="I32" s="79"/>
      <c r="J32" s="294">
        <v>280</v>
      </c>
      <c r="K32" s="15" t="s">
        <v>61</v>
      </c>
      <c r="L32" s="15" t="s">
        <v>57</v>
      </c>
      <c r="M32" s="32" t="s">
        <v>67</v>
      </c>
    </row>
    <row r="33" spans="1:13">
      <c r="A33" s="110"/>
      <c r="B33" s="64"/>
      <c r="C33" s="290"/>
      <c r="D33" s="168"/>
      <c r="E33" s="170"/>
      <c r="F33" s="163"/>
      <c r="G33" s="162"/>
      <c r="H33" s="164"/>
      <c r="I33" s="164"/>
      <c r="J33" s="270"/>
      <c r="K33" s="156"/>
      <c r="L33" s="156"/>
      <c r="M33" s="133"/>
    </row>
    <row r="34" spans="1:13" ht="30.6" customHeight="1">
      <c r="A34" s="85"/>
      <c r="B34" s="36"/>
      <c r="C34" s="254"/>
      <c r="D34" s="335" t="s">
        <v>68</v>
      </c>
      <c r="E34" s="336"/>
      <c r="F34" s="336"/>
      <c r="G34" s="336"/>
      <c r="H34" s="336"/>
      <c r="I34" s="336"/>
      <c r="J34" s="336"/>
      <c r="K34" s="336"/>
      <c r="L34" s="336"/>
      <c r="M34" s="337"/>
    </row>
    <row r="35" spans="1:13" ht="15">
      <c r="A35" s="242">
        <v>45734</v>
      </c>
      <c r="B35" s="14"/>
      <c r="C35" s="289">
        <v>700</v>
      </c>
      <c r="D35" s="14" t="s">
        <v>69</v>
      </c>
      <c r="E35" s="92"/>
      <c r="F35" s="22"/>
      <c r="G35" s="92"/>
      <c r="H35" s="67">
        <v>0.6791666666666667</v>
      </c>
      <c r="I35" s="67">
        <v>0.6791666666666667</v>
      </c>
      <c r="J35" s="257"/>
      <c r="K35" s="10" t="s">
        <v>70</v>
      </c>
      <c r="L35" s="10" t="s">
        <v>33</v>
      </c>
      <c r="M35" s="135"/>
    </row>
    <row r="36" spans="1:13" ht="21.75">
      <c r="A36" s="243"/>
      <c r="B36" s="64"/>
      <c r="C36" s="290">
        <f t="shared" ref="C36:C68" si="2">C35+10</f>
        <v>710</v>
      </c>
      <c r="D36" s="16" t="s">
        <v>71</v>
      </c>
      <c r="E36" s="76"/>
      <c r="F36" s="19"/>
      <c r="G36" s="76"/>
      <c r="H36" s="74">
        <v>0.6791666666666667</v>
      </c>
      <c r="I36" s="74">
        <v>0.6791666666666667</v>
      </c>
      <c r="J36" s="263"/>
      <c r="K36" s="15" t="s">
        <v>70</v>
      </c>
      <c r="L36" s="134" t="s">
        <v>33</v>
      </c>
      <c r="M36" s="133"/>
    </row>
    <row r="37" spans="1:13" ht="15">
      <c r="A37" s="242"/>
      <c r="B37" s="14"/>
      <c r="C37" s="291">
        <v>800</v>
      </c>
      <c r="D37" s="14" t="s">
        <v>72</v>
      </c>
      <c r="E37" s="14"/>
      <c r="F37" s="14"/>
      <c r="G37" s="14"/>
      <c r="H37" s="14"/>
      <c r="I37" s="14"/>
      <c r="J37" s="257"/>
      <c r="K37" s="14" t="s">
        <v>73</v>
      </c>
      <c r="L37" s="14" t="s">
        <v>33</v>
      </c>
      <c r="M37" s="14"/>
    </row>
    <row r="38" spans="1:13">
      <c r="A38" s="243">
        <v>45733</v>
      </c>
      <c r="B38" s="64"/>
      <c r="C38" s="290">
        <f t="shared" si="2"/>
        <v>810</v>
      </c>
      <c r="D38" s="16" t="s">
        <v>74</v>
      </c>
      <c r="E38" s="76"/>
      <c r="F38" s="19"/>
      <c r="G38" s="76"/>
      <c r="H38" s="74">
        <v>0.39583333333333331</v>
      </c>
      <c r="I38" s="74">
        <v>0.44791666666666669</v>
      </c>
      <c r="J38" s="263"/>
      <c r="K38" s="15" t="s">
        <v>73</v>
      </c>
      <c r="L38" s="134" t="s">
        <v>33</v>
      </c>
      <c r="M38" s="133"/>
    </row>
    <row r="39" spans="1:13">
      <c r="A39" s="243">
        <v>45733</v>
      </c>
      <c r="B39" s="64"/>
      <c r="C39" s="290">
        <f t="shared" si="2"/>
        <v>820</v>
      </c>
      <c r="D39" s="16" t="s">
        <v>75</v>
      </c>
      <c r="E39" s="76"/>
      <c r="F39" s="19"/>
      <c r="G39" s="76"/>
      <c r="H39" s="74">
        <v>0.4375</v>
      </c>
      <c r="I39" s="74">
        <v>0.44097222222222221</v>
      </c>
      <c r="J39" s="263"/>
      <c r="K39" s="15" t="s">
        <v>73</v>
      </c>
      <c r="L39" s="134" t="s">
        <v>33</v>
      </c>
      <c r="M39" s="133"/>
    </row>
    <row r="40" spans="1:13" ht="15">
      <c r="A40" s="243"/>
      <c r="B40" s="64"/>
      <c r="C40" s="290">
        <f t="shared" si="2"/>
        <v>830</v>
      </c>
      <c r="D40" s="16" t="s">
        <v>76</v>
      </c>
      <c r="E40" s="76"/>
      <c r="F40" s="19"/>
      <c r="G40" s="76"/>
      <c r="H40" s="71"/>
      <c r="I40" s="71"/>
      <c r="J40" s="312">
        <v>700</v>
      </c>
      <c r="K40" s="15" t="s">
        <v>73</v>
      </c>
      <c r="L40" s="134" t="s">
        <v>33</v>
      </c>
      <c r="M40" s="133"/>
    </row>
    <row r="41" spans="1:13">
      <c r="A41" s="242"/>
      <c r="B41" s="14"/>
      <c r="C41" s="291">
        <v>900</v>
      </c>
      <c r="D41" s="14" t="s">
        <v>77</v>
      </c>
      <c r="E41" s="14"/>
      <c r="F41" s="14"/>
      <c r="G41" s="14"/>
      <c r="H41" s="14"/>
      <c r="I41" s="14"/>
      <c r="J41" s="287" t="s">
        <v>78</v>
      </c>
      <c r="K41" s="14" t="s">
        <v>73</v>
      </c>
      <c r="L41" s="14"/>
      <c r="M41" s="14"/>
    </row>
    <row r="42" spans="1:13">
      <c r="A42" s="243"/>
      <c r="B42" s="64"/>
      <c r="C42" s="290">
        <f t="shared" si="2"/>
        <v>910</v>
      </c>
      <c r="D42" s="16" t="s">
        <v>79</v>
      </c>
      <c r="E42" s="76"/>
      <c r="F42" s="19"/>
      <c r="G42" s="76"/>
      <c r="H42" s="71"/>
      <c r="I42" s="71"/>
      <c r="J42" s="263"/>
      <c r="K42" s="15" t="s">
        <v>73</v>
      </c>
      <c r="L42" s="134" t="s">
        <v>33</v>
      </c>
    </row>
    <row r="43" spans="1:13">
      <c r="A43" s="243"/>
      <c r="B43" s="64"/>
      <c r="C43" s="290">
        <f t="shared" si="2"/>
        <v>920</v>
      </c>
      <c r="D43" s="89" t="s">
        <v>80</v>
      </c>
      <c r="E43" s="76"/>
      <c r="F43" s="19"/>
      <c r="G43" s="76"/>
      <c r="H43" s="71"/>
      <c r="I43" s="71"/>
      <c r="J43" s="263"/>
      <c r="K43" s="15" t="s">
        <v>73</v>
      </c>
      <c r="L43" s="134" t="s">
        <v>33</v>
      </c>
    </row>
    <row r="44" spans="1:13">
      <c r="A44" s="242"/>
      <c r="B44" s="14"/>
      <c r="C44" s="289">
        <v>1000</v>
      </c>
      <c r="D44" s="14" t="s">
        <v>81</v>
      </c>
      <c r="E44" s="92"/>
      <c r="F44" s="23"/>
      <c r="G44" s="94"/>
      <c r="H44" s="73"/>
      <c r="I44" s="73"/>
      <c r="J44" s="268"/>
      <c r="K44" s="10" t="s">
        <v>82</v>
      </c>
      <c r="L44" s="10" t="s">
        <v>33</v>
      </c>
      <c r="M44" s="14"/>
    </row>
    <row r="45" spans="1:13">
      <c r="A45" s="314">
        <v>45733</v>
      </c>
      <c r="B45" s="64"/>
      <c r="C45" s="290">
        <f t="shared" si="2"/>
        <v>1010</v>
      </c>
      <c r="D45" s="16" t="s">
        <v>83</v>
      </c>
      <c r="E45" s="76"/>
      <c r="F45" s="19"/>
      <c r="G45" s="76"/>
      <c r="H45" s="74">
        <v>0.39583333333333331</v>
      </c>
      <c r="I45" s="74">
        <v>0.44791666666666669</v>
      </c>
      <c r="J45" s="295"/>
      <c r="K45" s="15" t="s">
        <v>73</v>
      </c>
      <c r="L45" s="15" t="s">
        <v>84</v>
      </c>
      <c r="M45" s="31"/>
    </row>
    <row r="46" spans="1:13">
      <c r="A46" s="314">
        <v>45733</v>
      </c>
      <c r="B46" s="64"/>
      <c r="C46" s="290">
        <f t="shared" si="2"/>
        <v>1020</v>
      </c>
      <c r="D46" s="16" t="s">
        <v>85</v>
      </c>
      <c r="E46" s="76"/>
      <c r="F46" s="19"/>
      <c r="G46" s="76"/>
      <c r="H46" s="74">
        <v>0.39583333333333331</v>
      </c>
      <c r="I46" s="74">
        <v>0.44791666666666669</v>
      </c>
      <c r="J46" s="295"/>
      <c r="K46" s="15" t="s">
        <v>73</v>
      </c>
      <c r="L46" s="15" t="s">
        <v>84</v>
      </c>
      <c r="M46" s="31"/>
    </row>
    <row r="47" spans="1:13" ht="20.45">
      <c r="A47" s="314">
        <v>45733</v>
      </c>
      <c r="B47" s="64"/>
      <c r="C47" s="290">
        <f t="shared" si="2"/>
        <v>1030</v>
      </c>
      <c r="D47" s="16" t="s">
        <v>86</v>
      </c>
      <c r="E47" s="76"/>
      <c r="F47" s="19"/>
      <c r="G47" s="76"/>
      <c r="H47" s="74">
        <v>0.44791666666666669</v>
      </c>
      <c r="I47" s="74">
        <v>0.45277777777777778</v>
      </c>
      <c r="J47" s="295"/>
      <c r="K47" s="15" t="s">
        <v>73</v>
      </c>
      <c r="L47" s="15" t="s">
        <v>84</v>
      </c>
      <c r="M47" s="31"/>
    </row>
    <row r="48" spans="1:13">
      <c r="A48" s="314">
        <v>45733</v>
      </c>
      <c r="B48" s="64"/>
      <c r="C48" s="290">
        <f t="shared" si="2"/>
        <v>1040</v>
      </c>
      <c r="D48" s="16" t="s">
        <v>87</v>
      </c>
      <c r="E48" s="76"/>
      <c r="F48" s="19"/>
      <c r="G48" s="76"/>
      <c r="H48" s="74">
        <v>0.63055555555555554</v>
      </c>
      <c r="I48" s="74">
        <v>0.63055555555555554</v>
      </c>
      <c r="J48" s="296">
        <v>1610</v>
      </c>
      <c r="K48" s="15" t="s">
        <v>70</v>
      </c>
      <c r="L48" s="15" t="s">
        <v>84</v>
      </c>
      <c r="M48" s="31"/>
    </row>
    <row r="49" spans="1:15">
      <c r="A49" s="314">
        <v>45736</v>
      </c>
      <c r="B49" s="64"/>
      <c r="C49" s="290">
        <f t="shared" si="2"/>
        <v>1050</v>
      </c>
      <c r="D49" s="16" t="s">
        <v>88</v>
      </c>
      <c r="E49" s="76"/>
      <c r="F49" s="19"/>
      <c r="G49" s="76"/>
      <c r="H49" s="74">
        <v>0.59375</v>
      </c>
      <c r="I49" s="74">
        <v>0.70833333333333337</v>
      </c>
      <c r="J49" s="297">
        <v>1050</v>
      </c>
      <c r="K49" s="15" t="s">
        <v>73</v>
      </c>
      <c r="L49" s="15" t="s">
        <v>84</v>
      </c>
      <c r="M49" s="31"/>
    </row>
    <row r="50" spans="1:15">
      <c r="A50" s="243"/>
      <c r="B50" s="64"/>
      <c r="C50" s="290">
        <f t="shared" si="2"/>
        <v>1060</v>
      </c>
      <c r="D50" s="16"/>
      <c r="E50" s="76"/>
      <c r="F50" s="19"/>
      <c r="G50" s="76"/>
      <c r="H50" s="74"/>
      <c r="I50" s="74"/>
      <c r="J50" s="295"/>
      <c r="K50" s="15"/>
      <c r="L50" s="15"/>
      <c r="M50" s="31"/>
    </row>
    <row r="51" spans="1:15">
      <c r="A51" s="242"/>
      <c r="B51" s="14"/>
      <c r="C51" s="289">
        <v>1100</v>
      </c>
      <c r="D51" s="14" t="s">
        <v>89</v>
      </c>
      <c r="E51" s="92"/>
      <c r="F51" s="23"/>
      <c r="G51" s="94"/>
      <c r="H51" s="67"/>
      <c r="I51" s="67"/>
      <c r="J51" s="268"/>
      <c r="K51" s="10" t="s">
        <v>73</v>
      </c>
      <c r="L51" s="10" t="s">
        <v>33</v>
      </c>
      <c r="M51" s="14"/>
    </row>
    <row r="52" spans="1:15">
      <c r="A52" s="314">
        <v>45733</v>
      </c>
      <c r="B52" s="64"/>
      <c r="C52" s="290">
        <f t="shared" si="2"/>
        <v>1110</v>
      </c>
      <c r="D52" s="16" t="s">
        <v>90</v>
      </c>
      <c r="E52" s="76"/>
      <c r="F52" s="19"/>
      <c r="G52" s="76"/>
      <c r="H52" s="74">
        <v>0.45833333333333331</v>
      </c>
      <c r="I52" s="74">
        <v>0.46875</v>
      </c>
      <c r="J52" s="313">
        <v>700</v>
      </c>
      <c r="K52" s="15" t="s">
        <v>73</v>
      </c>
      <c r="L52" s="15" t="s">
        <v>84</v>
      </c>
      <c r="M52" s="31"/>
    </row>
    <row r="53" spans="1:15" ht="20.45">
      <c r="A53" s="314">
        <v>45733</v>
      </c>
      <c r="B53" s="64"/>
      <c r="C53" s="290">
        <f t="shared" si="2"/>
        <v>1120</v>
      </c>
      <c r="D53" s="16" t="s">
        <v>91</v>
      </c>
      <c r="E53" s="76"/>
      <c r="F53" s="19"/>
      <c r="G53" s="76"/>
      <c r="H53" s="74">
        <v>0.45833333333333331</v>
      </c>
      <c r="I53" s="74">
        <v>0.47916666666666669</v>
      </c>
      <c r="K53" s="15" t="s">
        <v>73</v>
      </c>
      <c r="L53" s="15" t="s">
        <v>84</v>
      </c>
      <c r="M53" s="31"/>
    </row>
    <row r="54" spans="1:15">
      <c r="A54" s="314">
        <v>45733</v>
      </c>
      <c r="B54" s="64"/>
      <c r="C54" s="290">
        <f t="shared" si="2"/>
        <v>1130</v>
      </c>
      <c r="D54" s="16" t="s">
        <v>92</v>
      </c>
      <c r="E54" s="76"/>
      <c r="F54" s="19"/>
      <c r="G54" s="76"/>
      <c r="H54" s="74">
        <v>0.47916666666666669</v>
      </c>
      <c r="I54" s="74">
        <v>0.4826388888888889</v>
      </c>
      <c r="J54" s="288" t="s">
        <v>93</v>
      </c>
      <c r="K54" s="15" t="s">
        <v>73</v>
      </c>
      <c r="L54" s="15" t="s">
        <v>33</v>
      </c>
      <c r="M54" s="31"/>
    </row>
    <row r="55" spans="1:15">
      <c r="A55" s="314">
        <v>45733</v>
      </c>
      <c r="B55" s="64"/>
      <c r="C55" s="290">
        <f t="shared" si="2"/>
        <v>1140</v>
      </c>
      <c r="D55" s="16" t="s">
        <v>94</v>
      </c>
      <c r="E55" s="76"/>
      <c r="F55" s="19"/>
      <c r="G55" s="76"/>
      <c r="H55" s="74">
        <v>0.4826388888888889</v>
      </c>
      <c r="I55" s="74">
        <v>0.4826388888888889</v>
      </c>
      <c r="K55" s="15" t="s">
        <v>73</v>
      </c>
      <c r="L55" s="15" t="s">
        <v>33</v>
      </c>
      <c r="M55" s="31"/>
    </row>
    <row r="56" spans="1:15">
      <c r="A56" s="242">
        <v>45740</v>
      </c>
      <c r="B56" s="14"/>
      <c r="C56" s="289">
        <v>1200</v>
      </c>
      <c r="D56" s="14" t="s">
        <v>95</v>
      </c>
      <c r="E56" s="92"/>
      <c r="F56" s="23"/>
      <c r="G56" s="94"/>
      <c r="H56" s="67"/>
      <c r="I56" s="67"/>
      <c r="J56" s="286" t="s">
        <v>96</v>
      </c>
      <c r="K56" s="10" t="s">
        <v>73</v>
      </c>
      <c r="L56" s="10" t="s">
        <v>33</v>
      </c>
      <c r="M56" s="14"/>
    </row>
    <row r="57" spans="1:15" ht="20.45">
      <c r="A57" s="314">
        <v>45740</v>
      </c>
      <c r="B57" s="64"/>
      <c r="C57" s="290">
        <f t="shared" si="2"/>
        <v>1210</v>
      </c>
      <c r="D57" s="16" t="s">
        <v>97</v>
      </c>
      <c r="E57" s="76"/>
      <c r="F57" s="19"/>
      <c r="G57" s="76"/>
      <c r="H57" s="71"/>
      <c r="I57" s="71"/>
      <c r="K57" s="15" t="s">
        <v>73</v>
      </c>
      <c r="L57" s="15" t="s">
        <v>98</v>
      </c>
      <c r="M57" s="31"/>
    </row>
    <row r="58" spans="1:15" ht="15">
      <c r="A58" s="242">
        <v>45734</v>
      </c>
      <c r="B58" s="42"/>
      <c r="C58" s="289">
        <v>1300</v>
      </c>
      <c r="D58" s="11" t="s">
        <v>99</v>
      </c>
      <c r="E58" s="98"/>
      <c r="F58" s="27"/>
      <c r="G58" s="98"/>
      <c r="H58" s="75"/>
      <c r="I58" s="75"/>
      <c r="J58" s="292">
        <v>830</v>
      </c>
      <c r="K58" s="10" t="s">
        <v>73</v>
      </c>
      <c r="L58" s="10" t="s">
        <v>33</v>
      </c>
      <c r="M58" s="14"/>
    </row>
    <row r="59" spans="1:15" ht="21.75">
      <c r="A59" s="243">
        <v>45734</v>
      </c>
      <c r="B59" s="64"/>
      <c r="C59" s="290">
        <f t="shared" si="2"/>
        <v>1310</v>
      </c>
      <c r="D59" s="16" t="s">
        <v>100</v>
      </c>
      <c r="E59" s="76"/>
      <c r="F59" s="19"/>
      <c r="G59" s="76"/>
      <c r="H59" s="76"/>
      <c r="I59" s="76"/>
      <c r="K59" s="15" t="s">
        <v>73</v>
      </c>
      <c r="L59" s="15" t="s">
        <v>33</v>
      </c>
      <c r="M59" s="31"/>
      <c r="O59" s="63"/>
    </row>
    <row r="60" spans="1:15" ht="21.75">
      <c r="A60" s="243">
        <v>45734</v>
      </c>
      <c r="B60" s="64"/>
      <c r="C60" s="290">
        <f t="shared" si="2"/>
        <v>1320</v>
      </c>
      <c r="D60" s="16" t="s">
        <v>101</v>
      </c>
      <c r="E60" s="76"/>
      <c r="F60" s="151"/>
      <c r="G60" s="76"/>
      <c r="H60" s="76"/>
      <c r="I60" s="76"/>
      <c r="J60" s="263"/>
      <c r="K60" s="15" t="s">
        <v>73</v>
      </c>
      <c r="L60" s="15" t="s">
        <v>33</v>
      </c>
      <c r="M60" s="16"/>
      <c r="O60" s="4"/>
    </row>
    <row r="61" spans="1:15" s="4" customFormat="1">
      <c r="A61" s="242">
        <v>45734</v>
      </c>
      <c r="B61" s="14"/>
      <c r="C61" s="289">
        <v>1400</v>
      </c>
      <c r="D61" s="129" t="s">
        <v>102</v>
      </c>
      <c r="E61" s="92"/>
      <c r="F61" s="22"/>
      <c r="G61" s="92"/>
      <c r="H61" s="67"/>
      <c r="I61" s="67"/>
      <c r="J61" s="292">
        <v>830</v>
      </c>
      <c r="K61" s="10" t="s">
        <v>73</v>
      </c>
      <c r="L61" s="10" t="s">
        <v>33</v>
      </c>
      <c r="M61" s="14"/>
    </row>
    <row r="62" spans="1:15">
      <c r="A62" s="243">
        <v>45733</v>
      </c>
      <c r="B62" s="64"/>
      <c r="C62" s="290">
        <f t="shared" si="2"/>
        <v>1410</v>
      </c>
      <c r="D62" s="118" t="s">
        <v>103</v>
      </c>
      <c r="E62" s="104"/>
      <c r="F62" s="19"/>
      <c r="G62" s="76"/>
      <c r="H62" s="74">
        <v>0.67708333333333337</v>
      </c>
      <c r="I62" s="74">
        <v>0.6875</v>
      </c>
      <c r="K62" s="15" t="s">
        <v>73</v>
      </c>
      <c r="L62" s="19" t="s">
        <v>33</v>
      </c>
      <c r="M62" s="31"/>
    </row>
    <row r="63" spans="1:15">
      <c r="A63" s="243">
        <v>45733</v>
      </c>
      <c r="B63" s="64"/>
      <c r="C63" s="290">
        <f t="shared" si="2"/>
        <v>1420</v>
      </c>
      <c r="D63" s="231" t="s">
        <v>104</v>
      </c>
      <c r="E63" s="232"/>
      <c r="F63" s="233"/>
      <c r="G63" s="234"/>
      <c r="H63" s="235">
        <v>0.6875</v>
      </c>
      <c r="I63" s="235">
        <v>0.69097222222222221</v>
      </c>
      <c r="K63" s="236" t="s">
        <v>73</v>
      </c>
      <c r="L63" s="233" t="s">
        <v>33</v>
      </c>
      <c r="M63" s="167"/>
    </row>
    <row r="64" spans="1:15">
      <c r="A64" s="243">
        <v>45736</v>
      </c>
      <c r="B64" s="64"/>
      <c r="C64" s="290">
        <f t="shared" si="2"/>
        <v>1430</v>
      </c>
      <c r="D64" s="231" t="s">
        <v>105</v>
      </c>
      <c r="E64" s="232"/>
      <c r="F64" s="233"/>
      <c r="G64" s="234"/>
      <c r="H64" s="235"/>
      <c r="I64" s="235"/>
      <c r="J64" s="288" t="s">
        <v>106</v>
      </c>
      <c r="K64" s="236" t="s">
        <v>73</v>
      </c>
      <c r="L64" s="233" t="s">
        <v>33</v>
      </c>
      <c r="M64" s="167"/>
    </row>
    <row r="65" spans="1:13">
      <c r="A65" s="243">
        <v>45735</v>
      </c>
      <c r="B65" s="64"/>
      <c r="C65" s="290">
        <f t="shared" si="2"/>
        <v>1440</v>
      </c>
      <c r="D65" s="231" t="s">
        <v>107</v>
      </c>
      <c r="E65" s="232"/>
      <c r="F65" s="233"/>
      <c r="G65" s="234"/>
      <c r="H65" s="235">
        <v>0.39583333333333331</v>
      </c>
      <c r="I65" s="235">
        <v>0.40625</v>
      </c>
      <c r="J65" s="293">
        <v>830</v>
      </c>
      <c r="K65" s="236" t="s">
        <v>73</v>
      </c>
      <c r="L65" s="233" t="s">
        <v>33</v>
      </c>
      <c r="M65" s="167"/>
    </row>
    <row r="66" spans="1:13" ht="30.6">
      <c r="A66" s="243">
        <v>45735</v>
      </c>
      <c r="B66" s="64"/>
      <c r="C66" s="290">
        <f t="shared" si="2"/>
        <v>1450</v>
      </c>
      <c r="D66" s="231" t="s">
        <v>108</v>
      </c>
      <c r="E66" s="232"/>
      <c r="F66" s="233"/>
      <c r="G66" s="234"/>
      <c r="H66" s="235">
        <v>0.40625</v>
      </c>
      <c r="I66" s="235">
        <v>0.41666666666666669</v>
      </c>
      <c r="J66" s="293">
        <v>830</v>
      </c>
      <c r="K66" s="236" t="s">
        <v>73</v>
      </c>
      <c r="L66" s="233" t="s">
        <v>33</v>
      </c>
      <c r="M66" s="167"/>
    </row>
    <row r="67" spans="1:13" ht="21.75">
      <c r="A67" s="242">
        <v>45748</v>
      </c>
      <c r="B67" s="14"/>
      <c r="C67" s="291">
        <v>1500</v>
      </c>
      <c r="D67" s="14" t="s">
        <v>109</v>
      </c>
      <c r="E67" s="14"/>
      <c r="F67" s="14"/>
      <c r="G67" s="14"/>
      <c r="H67" s="14"/>
      <c r="I67" s="14"/>
      <c r="J67" s="291">
        <v>2130</v>
      </c>
      <c r="K67" s="14"/>
      <c r="L67" s="14" t="s">
        <v>57</v>
      </c>
      <c r="M67" s="14"/>
    </row>
    <row r="68" spans="1:13" ht="15">
      <c r="A68" s="243">
        <v>45748</v>
      </c>
      <c r="B68" s="64"/>
      <c r="C68" s="290">
        <f t="shared" si="2"/>
        <v>1510</v>
      </c>
      <c r="D68" s="89" t="s">
        <v>80</v>
      </c>
      <c r="E68" s="231"/>
      <c r="F68" s="231"/>
      <c r="G68" s="231"/>
      <c r="H68" s="231"/>
      <c r="I68" s="231"/>
      <c r="J68" s="273"/>
      <c r="K68" s="231"/>
      <c r="L68" s="231" t="s">
        <v>57</v>
      </c>
      <c r="M68" s="231"/>
    </row>
    <row r="69" spans="1:13" ht="16.149999999999999">
      <c r="A69" s="85"/>
      <c r="B69" s="36"/>
      <c r="C69" s="258"/>
      <c r="D69" s="335" t="s">
        <v>110</v>
      </c>
      <c r="E69" s="336"/>
      <c r="F69" s="336"/>
      <c r="G69" s="336"/>
      <c r="H69" s="336"/>
      <c r="I69" s="336"/>
      <c r="J69" s="336"/>
      <c r="K69" s="336"/>
      <c r="L69" s="336"/>
      <c r="M69" s="337"/>
    </row>
    <row r="70" spans="1:13" ht="16.149999999999999">
      <c r="A70" s="85"/>
      <c r="B70" s="36"/>
      <c r="C70" s="258"/>
      <c r="D70" s="228"/>
      <c r="E70" s="229"/>
      <c r="F70" s="237"/>
      <c r="G70" s="229"/>
      <c r="H70" s="237"/>
      <c r="I70" s="237"/>
      <c r="J70" s="274"/>
      <c r="K70" s="229"/>
      <c r="L70" s="229"/>
      <c r="M70" s="230"/>
    </row>
    <row r="71" spans="1:13">
      <c r="A71" s="242"/>
      <c r="B71" s="14"/>
      <c r="C71" s="289">
        <v>1500</v>
      </c>
      <c r="D71" s="14" t="s">
        <v>111</v>
      </c>
      <c r="E71" s="92"/>
      <c r="F71" s="150"/>
      <c r="G71" s="92"/>
      <c r="H71" s="132"/>
      <c r="I71" s="132"/>
      <c r="J71" s="257"/>
      <c r="K71" s="10"/>
      <c r="L71" s="10"/>
      <c r="M71" s="14"/>
    </row>
    <row r="72" spans="1:13">
      <c r="A72" s="243"/>
      <c r="B72" s="157"/>
      <c r="C72" s="290">
        <f t="shared" ref="C72" si="3">C71+10</f>
        <v>1510</v>
      </c>
      <c r="D72" s="89" t="s">
        <v>112</v>
      </c>
      <c r="E72" s="130"/>
      <c r="F72" s="130"/>
      <c r="G72" s="130"/>
      <c r="H72" s="130"/>
      <c r="I72" s="130"/>
      <c r="J72" s="275"/>
      <c r="K72" s="130" t="s">
        <v>113</v>
      </c>
      <c r="L72" s="130" t="s">
        <v>84</v>
      </c>
      <c r="M72" s="157"/>
    </row>
    <row r="73" spans="1:13">
      <c r="A73" s="242"/>
      <c r="B73" s="14"/>
      <c r="C73" s="289">
        <v>1600</v>
      </c>
      <c r="D73" s="14" t="s">
        <v>114</v>
      </c>
      <c r="E73" s="238"/>
      <c r="F73" s="239"/>
      <c r="G73" s="240"/>
      <c r="H73" s="241"/>
      <c r="I73" s="241"/>
      <c r="J73" s="276"/>
      <c r="K73" s="10"/>
      <c r="L73" s="10"/>
      <c r="M73" s="14"/>
    </row>
    <row r="74" spans="1:13">
      <c r="A74" s="243">
        <v>45733</v>
      </c>
      <c r="B74" s="64"/>
      <c r="C74" s="290">
        <f t="shared" ref="C74" si="4">C73+10</f>
        <v>1610</v>
      </c>
      <c r="D74" s="137" t="s">
        <v>115</v>
      </c>
      <c r="E74" s="130"/>
      <c r="F74" s="161"/>
      <c r="G74" s="149"/>
      <c r="H74" s="131"/>
      <c r="I74" s="131">
        <v>0.63055555555555554</v>
      </c>
      <c r="J74" s="277"/>
      <c r="K74" s="130" t="s">
        <v>113</v>
      </c>
      <c r="L74" s="142" t="s">
        <v>84</v>
      </c>
      <c r="M74" s="31"/>
    </row>
    <row r="75" spans="1:13">
      <c r="A75" s="242"/>
      <c r="B75" s="14"/>
      <c r="C75" s="291">
        <v>1700</v>
      </c>
      <c r="D75" s="14" t="s">
        <v>116</v>
      </c>
      <c r="E75" s="14"/>
      <c r="F75" s="14"/>
      <c r="G75" s="14"/>
      <c r="H75" s="14"/>
      <c r="I75" s="14"/>
      <c r="J75" s="257"/>
      <c r="K75" s="14"/>
      <c r="L75" s="14"/>
      <c r="M75" s="14"/>
    </row>
    <row r="76" spans="1:13">
      <c r="A76" s="243">
        <v>45734</v>
      </c>
      <c r="B76" s="138"/>
      <c r="C76" s="290">
        <f t="shared" ref="C76:C83" si="5">C75+10</f>
        <v>1710</v>
      </c>
      <c r="D76" s="137" t="s">
        <v>117</v>
      </c>
      <c r="E76" s="139"/>
      <c r="F76" s="165"/>
      <c r="G76" s="140"/>
      <c r="H76" s="144"/>
      <c r="I76" s="175"/>
      <c r="J76" s="278"/>
      <c r="K76" s="130" t="s">
        <v>113</v>
      </c>
      <c r="L76" s="142" t="s">
        <v>84</v>
      </c>
      <c r="M76" s="31" t="s">
        <v>118</v>
      </c>
    </row>
    <row r="77" spans="1:13">
      <c r="A77" s="243">
        <v>45735</v>
      </c>
      <c r="B77" s="138"/>
      <c r="C77" s="290">
        <f t="shared" si="5"/>
        <v>1720</v>
      </c>
      <c r="D77" s="205" t="s">
        <v>119</v>
      </c>
      <c r="E77" s="143"/>
      <c r="F77" s="171"/>
      <c r="G77" s="140"/>
      <c r="H77" s="145"/>
      <c r="I77" s="174"/>
      <c r="J77" s="279"/>
      <c r="K77" s="130" t="s">
        <v>113</v>
      </c>
      <c r="L77" s="142" t="s">
        <v>84</v>
      </c>
      <c r="M77" s="31"/>
    </row>
    <row r="78" spans="1:13">
      <c r="A78" s="243">
        <v>45735</v>
      </c>
      <c r="B78" s="138"/>
      <c r="C78" s="290">
        <f t="shared" si="5"/>
        <v>1730</v>
      </c>
      <c r="D78" s="206" t="s">
        <v>120</v>
      </c>
      <c r="E78" s="173"/>
      <c r="F78" s="202"/>
      <c r="G78" s="140"/>
      <c r="H78" s="141"/>
      <c r="I78" s="176">
        <v>0.41666666666666669</v>
      </c>
      <c r="J78" s="280"/>
      <c r="K78" s="130" t="s">
        <v>113</v>
      </c>
      <c r="L78" s="142" t="s">
        <v>84</v>
      </c>
      <c r="M78" s="204"/>
    </row>
    <row r="79" spans="1:13">
      <c r="A79" s="242"/>
      <c r="B79" s="14"/>
      <c r="C79" s="291">
        <v>1800</v>
      </c>
      <c r="D79" s="14" t="s">
        <v>121</v>
      </c>
      <c r="E79" s="14"/>
      <c r="F79" s="14"/>
      <c r="G79" s="14"/>
      <c r="H79" s="14"/>
      <c r="I79" s="14"/>
      <c r="J79" s="257"/>
      <c r="K79" s="14"/>
      <c r="L79" s="14"/>
      <c r="M79" s="14"/>
    </row>
    <row r="80" spans="1:13">
      <c r="A80" s="243">
        <v>45736</v>
      </c>
      <c r="B80" s="138"/>
      <c r="C80" s="290">
        <f>C79+10</f>
        <v>1810</v>
      </c>
      <c r="D80" s="1" t="s">
        <v>122</v>
      </c>
      <c r="E80" s="143"/>
      <c r="F80" s="298"/>
      <c r="G80" s="143"/>
      <c r="H80" s="299"/>
      <c r="I80" s="299"/>
      <c r="J80" s="300"/>
      <c r="K80" s="130" t="s">
        <v>123</v>
      </c>
      <c r="L80" s="142" t="s">
        <v>84</v>
      </c>
      <c r="M80" s="204"/>
    </row>
    <row r="81" spans="1:13">
      <c r="A81" s="243">
        <v>45736</v>
      </c>
      <c r="B81" s="138"/>
      <c r="C81" s="290">
        <f t="shared" ref="C81" si="6">C80+10</f>
        <v>1820</v>
      </c>
      <c r="D81" s="206" t="s">
        <v>124</v>
      </c>
      <c r="E81" s="143"/>
      <c r="F81" s="298"/>
      <c r="G81" s="143"/>
      <c r="H81" s="299"/>
      <c r="I81" s="299"/>
      <c r="J81" s="311">
        <v>1810</v>
      </c>
      <c r="K81" s="130" t="s">
        <v>123</v>
      </c>
      <c r="L81" s="142" t="s">
        <v>84</v>
      </c>
      <c r="M81" s="204"/>
    </row>
    <row r="82" spans="1:13">
      <c r="A82" s="242"/>
      <c r="B82" s="242"/>
      <c r="C82" s="291">
        <v>1900</v>
      </c>
      <c r="D82" s="14" t="s">
        <v>125</v>
      </c>
      <c r="E82" s="242"/>
      <c r="F82" s="242"/>
      <c r="G82" s="242"/>
      <c r="H82" s="242"/>
      <c r="I82" s="242"/>
      <c r="J82" s="242"/>
      <c r="K82" s="242"/>
      <c r="L82" s="242"/>
      <c r="M82" s="242"/>
    </row>
    <row r="83" spans="1:13">
      <c r="A83" s="243">
        <v>45736</v>
      </c>
      <c r="B83" s="138"/>
      <c r="C83" s="290">
        <f t="shared" si="5"/>
        <v>1910</v>
      </c>
      <c r="D83" s="206" t="s">
        <v>126</v>
      </c>
      <c r="E83" s="143"/>
      <c r="F83" s="298"/>
      <c r="G83" s="143"/>
      <c r="H83" s="299"/>
      <c r="I83" s="299"/>
      <c r="J83" s="300"/>
      <c r="K83" s="130" t="s">
        <v>123</v>
      </c>
      <c r="L83" s="142" t="s">
        <v>84</v>
      </c>
      <c r="M83" s="204"/>
    </row>
    <row r="84" spans="1:13" ht="18.75" customHeight="1">
      <c r="A84" s="242"/>
      <c r="B84" s="14"/>
      <c r="C84" s="291">
        <v>2000</v>
      </c>
      <c r="D84" s="14" t="s">
        <v>127</v>
      </c>
      <c r="E84" s="14"/>
      <c r="F84" s="14"/>
      <c r="G84" s="14"/>
      <c r="H84" s="14"/>
      <c r="I84" s="14"/>
      <c r="J84" s="257"/>
      <c r="K84" s="14"/>
      <c r="L84" s="14"/>
      <c r="M84" s="14"/>
    </row>
    <row r="85" spans="1:13" ht="24.75" customHeight="1">
      <c r="A85" s="243">
        <v>45742</v>
      </c>
      <c r="B85" s="157"/>
      <c r="C85" s="290">
        <f t="shared" ref="C85:C91" si="7">C84+10</f>
        <v>2010</v>
      </c>
      <c r="D85" s="137" t="s">
        <v>128</v>
      </c>
      <c r="E85" s="76"/>
      <c r="F85" s="76"/>
      <c r="G85" s="76"/>
      <c r="H85" s="76"/>
      <c r="I85" s="76"/>
      <c r="J85" s="294">
        <v>190</v>
      </c>
      <c r="K85" s="130" t="s">
        <v>113</v>
      </c>
      <c r="L85" s="157"/>
      <c r="M85" s="157"/>
    </row>
    <row r="86" spans="1:13" ht="20.45">
      <c r="A86" s="243">
        <v>45742</v>
      </c>
      <c r="B86" s="157"/>
      <c r="C86" s="290">
        <f t="shared" si="7"/>
        <v>2020</v>
      </c>
      <c r="D86" s="137" t="s">
        <v>129</v>
      </c>
      <c r="E86" s="76"/>
      <c r="F86" s="76"/>
      <c r="G86" s="76"/>
      <c r="H86" s="76"/>
      <c r="I86" s="76"/>
      <c r="J86" s="263"/>
      <c r="K86" s="130" t="s">
        <v>113</v>
      </c>
      <c r="L86" s="157"/>
      <c r="M86" s="157" t="s">
        <v>130</v>
      </c>
    </row>
    <row r="87" spans="1:13">
      <c r="A87" s="243">
        <v>45742</v>
      </c>
      <c r="B87" s="157"/>
      <c r="C87" s="290">
        <f t="shared" si="7"/>
        <v>2030</v>
      </c>
      <c r="D87" s="16" t="s">
        <v>131</v>
      </c>
      <c r="E87" s="76"/>
      <c r="F87" s="76"/>
      <c r="G87" s="76"/>
      <c r="H87" s="76"/>
      <c r="I87" s="76"/>
      <c r="J87" s="263"/>
      <c r="K87" s="130" t="s">
        <v>113</v>
      </c>
      <c r="L87" s="157"/>
      <c r="M87" s="157"/>
    </row>
    <row r="88" spans="1:13" ht="20.45">
      <c r="A88" s="242"/>
      <c r="B88" s="14"/>
      <c r="C88" s="291">
        <v>2100</v>
      </c>
      <c r="D88" s="14" t="s">
        <v>132</v>
      </c>
      <c r="E88" s="14"/>
      <c r="F88" s="14"/>
      <c r="G88" s="14"/>
      <c r="H88" s="14"/>
      <c r="I88" s="14"/>
      <c r="J88" s="257"/>
      <c r="K88" s="14"/>
      <c r="L88" s="14"/>
      <c r="M88" s="14"/>
    </row>
    <row r="89" spans="1:13">
      <c r="A89" s="243">
        <v>45743</v>
      </c>
      <c r="B89" s="157"/>
      <c r="C89" s="290">
        <v>2110</v>
      </c>
      <c r="D89" s="137" t="s">
        <v>133</v>
      </c>
      <c r="E89" s="76"/>
      <c r="F89" s="76"/>
      <c r="G89" s="76"/>
      <c r="H89" s="76"/>
      <c r="I89" s="76"/>
      <c r="J89" s="263"/>
      <c r="K89" s="130" t="s">
        <v>113</v>
      </c>
      <c r="L89" s="157"/>
      <c r="M89" s="157"/>
    </row>
    <row r="90" spans="1:13">
      <c r="A90" s="243">
        <v>45743</v>
      </c>
      <c r="B90" s="138"/>
      <c r="C90" s="290">
        <f t="shared" si="7"/>
        <v>2120</v>
      </c>
      <c r="D90" s="137" t="s">
        <v>129</v>
      </c>
      <c r="E90" s="76"/>
      <c r="F90" s="76"/>
      <c r="G90" s="76"/>
      <c r="H90" s="76"/>
      <c r="I90" s="76"/>
      <c r="J90" s="263"/>
      <c r="K90" s="130" t="s">
        <v>113</v>
      </c>
      <c r="L90" s="142"/>
      <c r="M90" s="31"/>
    </row>
    <row r="91" spans="1:13">
      <c r="A91" s="243">
        <v>45743</v>
      </c>
      <c r="B91" s="64"/>
      <c r="C91" s="290">
        <f t="shared" si="7"/>
        <v>2130</v>
      </c>
      <c r="D91" s="16" t="s">
        <v>131</v>
      </c>
      <c r="E91" s="76"/>
      <c r="F91" s="76"/>
      <c r="G91" s="76"/>
      <c r="H91" s="76"/>
      <c r="I91" s="76"/>
      <c r="J91" s="263"/>
      <c r="K91" s="130" t="s">
        <v>113</v>
      </c>
      <c r="L91" s="15"/>
      <c r="M91" s="31"/>
    </row>
    <row r="92" spans="1:13">
      <c r="A92" s="306"/>
      <c r="B92" s="307"/>
      <c r="C92" s="308">
        <v>2200</v>
      </c>
      <c r="D92" s="307" t="s">
        <v>134</v>
      </c>
      <c r="E92" s="307"/>
      <c r="F92" s="307"/>
      <c r="G92" s="307"/>
      <c r="H92" s="307"/>
      <c r="I92" s="307"/>
      <c r="J92" s="309"/>
      <c r="K92" s="307"/>
      <c r="L92" s="307"/>
      <c r="M92" s="307"/>
    </row>
    <row r="93" spans="1:13">
      <c r="A93" s="243" t="s">
        <v>135</v>
      </c>
      <c r="B93" s="64"/>
      <c r="C93" s="290">
        <v>2210</v>
      </c>
      <c r="D93" s="168" t="s">
        <v>136</v>
      </c>
      <c r="E93" s="234"/>
      <c r="F93" s="234"/>
      <c r="G93" s="234"/>
      <c r="H93" s="234"/>
      <c r="I93" s="234"/>
      <c r="J93" s="305"/>
      <c r="K93" s="234" t="s">
        <v>137</v>
      </c>
      <c r="L93" s="236"/>
      <c r="M93" s="167"/>
    </row>
    <row r="94" spans="1:13" ht="20.45">
      <c r="A94" s="243"/>
      <c r="B94" s="64"/>
      <c r="C94" s="290"/>
      <c r="D94" s="310" t="s">
        <v>138</v>
      </c>
      <c r="E94" s="234"/>
      <c r="F94" s="234"/>
      <c r="G94" s="234"/>
      <c r="H94" s="234"/>
      <c r="I94" s="234"/>
      <c r="J94" s="305"/>
      <c r="K94" s="234"/>
      <c r="L94" s="236"/>
      <c r="M94" s="167"/>
    </row>
    <row r="95" spans="1:13">
      <c r="A95" s="306"/>
      <c r="B95" s="307"/>
      <c r="C95" s="308">
        <v>2300</v>
      </c>
      <c r="D95" s="307" t="s">
        <v>139</v>
      </c>
      <c r="E95" s="307"/>
      <c r="F95" s="307"/>
      <c r="G95" s="307"/>
      <c r="H95" s="307"/>
      <c r="I95" s="307"/>
      <c r="J95" s="309"/>
      <c r="K95" s="307"/>
      <c r="L95" s="307"/>
      <c r="M95" s="307"/>
    </row>
    <row r="96" spans="1:13">
      <c r="A96" s="243"/>
      <c r="B96" s="64"/>
      <c r="C96" s="290">
        <v>2310</v>
      </c>
      <c r="D96" s="310" t="s">
        <v>140</v>
      </c>
      <c r="E96" s="234"/>
      <c r="F96" s="234"/>
      <c r="G96" s="234"/>
      <c r="H96" s="234"/>
      <c r="I96" s="234"/>
      <c r="J96" s="305"/>
      <c r="K96" s="234" t="s">
        <v>137</v>
      </c>
      <c r="L96" s="236"/>
      <c r="M96" s="167"/>
    </row>
    <row r="97" spans="1:15">
      <c r="A97" s="243"/>
      <c r="B97" s="64"/>
      <c r="C97" s="290"/>
      <c r="D97" s="168"/>
      <c r="E97" s="234"/>
      <c r="F97" s="234"/>
      <c r="G97" s="234"/>
      <c r="H97" s="234"/>
      <c r="I97" s="234"/>
      <c r="J97" s="305"/>
      <c r="K97" s="234"/>
      <c r="L97" s="236"/>
      <c r="M97" s="167"/>
    </row>
    <row r="98" spans="1:15" ht="39.6" customHeight="1">
      <c r="A98" s="85"/>
      <c r="B98" s="36"/>
      <c r="C98" s="258"/>
      <c r="D98" s="335" t="s">
        <v>141</v>
      </c>
      <c r="E98" s="336"/>
      <c r="F98" s="336"/>
      <c r="G98" s="336"/>
      <c r="H98" s="336"/>
      <c r="I98" s="336"/>
      <c r="J98" s="336"/>
      <c r="K98" s="336"/>
      <c r="L98" s="336"/>
      <c r="M98" s="337"/>
    </row>
    <row r="99" spans="1:15">
      <c r="A99" s="14"/>
      <c r="B99" s="14"/>
      <c r="C99" s="255"/>
      <c r="D99" s="14"/>
      <c r="E99" s="92"/>
      <c r="F99" s="26"/>
      <c r="G99" s="98"/>
      <c r="H99" s="77"/>
      <c r="I99" s="77"/>
      <c r="J99" s="272"/>
      <c r="K99" s="10"/>
      <c r="L99" s="10"/>
      <c r="M99" s="14"/>
    </row>
    <row r="100" spans="1:15" ht="36" customHeight="1">
      <c r="A100" s="189"/>
      <c r="B100" s="157"/>
      <c r="C100" s="259"/>
      <c r="D100" s="12"/>
      <c r="E100" s="158"/>
      <c r="F100" s="28"/>
      <c r="G100" s="99"/>
      <c r="H100" s="159"/>
      <c r="I100" s="159"/>
      <c r="J100" s="281"/>
      <c r="K100" s="15"/>
      <c r="L100" s="13"/>
      <c r="M100" s="186"/>
    </row>
    <row r="101" spans="1:15">
      <c r="A101" s="189"/>
      <c r="B101" s="64"/>
      <c r="C101" s="259"/>
      <c r="D101" s="16"/>
      <c r="E101" s="76"/>
      <c r="F101" s="24"/>
      <c r="G101" s="93"/>
      <c r="H101" s="71"/>
      <c r="I101" s="71"/>
      <c r="J101" s="282"/>
      <c r="K101" s="15"/>
      <c r="L101" s="15"/>
      <c r="M101" s="107"/>
    </row>
    <row r="102" spans="1:15">
      <c r="A102" s="14"/>
      <c r="B102" s="14"/>
      <c r="C102" s="255"/>
      <c r="D102" s="14"/>
      <c r="E102" s="92"/>
      <c r="F102" s="148"/>
      <c r="G102" s="94"/>
      <c r="H102" s="67"/>
      <c r="I102" s="67"/>
      <c r="J102" s="269"/>
      <c r="K102" s="10"/>
      <c r="L102" s="10"/>
      <c r="M102" s="14"/>
    </row>
    <row r="103" spans="1:15">
      <c r="A103" s="172"/>
      <c r="B103" s="64"/>
      <c r="C103" s="246"/>
      <c r="D103" s="16"/>
      <c r="E103" s="130"/>
      <c r="F103" s="147"/>
      <c r="G103" s="136"/>
      <c r="H103" s="71"/>
      <c r="I103" s="177"/>
      <c r="J103" s="278"/>
      <c r="K103" s="179"/>
      <c r="L103" s="15"/>
      <c r="M103" s="31"/>
    </row>
    <row r="104" spans="1:15">
      <c r="A104" s="172"/>
      <c r="B104" s="64"/>
      <c r="C104" s="246"/>
      <c r="D104" s="16"/>
      <c r="E104" s="130"/>
      <c r="F104" s="147"/>
      <c r="G104" s="136"/>
      <c r="H104" s="71"/>
      <c r="I104" s="177"/>
      <c r="J104" s="278"/>
      <c r="K104" s="179"/>
      <c r="L104" s="15"/>
      <c r="M104" s="31"/>
    </row>
    <row r="105" spans="1:15">
      <c r="A105" s="172"/>
      <c r="B105" s="64"/>
      <c r="C105" s="246"/>
      <c r="D105" s="16"/>
      <c r="E105" s="130"/>
      <c r="F105" s="147"/>
      <c r="G105" s="136"/>
      <c r="H105" s="71"/>
      <c r="I105" s="177"/>
      <c r="J105" s="278"/>
      <c r="K105" s="179"/>
      <c r="L105" s="15"/>
      <c r="M105" s="31"/>
    </row>
    <row r="106" spans="1:15" s="197" customFormat="1" ht="109.5" customHeight="1">
      <c r="A106" s="203"/>
      <c r="B106" s="190"/>
      <c r="C106" s="260"/>
      <c r="D106" s="191"/>
      <c r="E106" s="192"/>
      <c r="F106" s="193"/>
      <c r="G106" s="192"/>
      <c r="H106" s="194"/>
      <c r="I106" s="194"/>
      <c r="J106" s="283"/>
      <c r="K106" s="195"/>
      <c r="L106" s="195"/>
      <c r="M106" s="196"/>
    </row>
    <row r="107" spans="1:15" s="197" customFormat="1" ht="63.75" customHeight="1">
      <c r="A107" s="203"/>
      <c r="B107" s="190"/>
      <c r="C107" s="260"/>
      <c r="D107" s="191"/>
      <c r="E107" s="198"/>
      <c r="F107" s="199"/>
      <c r="G107" s="200"/>
      <c r="H107" s="201"/>
      <c r="I107" s="201"/>
      <c r="J107" s="284"/>
      <c r="K107" s="195"/>
      <c r="L107" s="195"/>
      <c r="M107" s="196"/>
    </row>
    <row r="108" spans="1:15" ht="80.25" customHeight="1">
      <c r="A108" s="172"/>
      <c r="B108" s="64"/>
      <c r="C108" s="259"/>
      <c r="D108" s="16"/>
      <c r="E108" s="102"/>
      <c r="F108" s="24"/>
      <c r="G108" s="93"/>
      <c r="H108" s="68"/>
      <c r="I108" s="68"/>
      <c r="J108" s="282"/>
      <c r="K108" s="15"/>
      <c r="L108" s="134"/>
      <c r="M108" s="187"/>
      <c r="O108" s="187"/>
    </row>
    <row r="109" spans="1:15" ht="75.75" customHeight="1">
      <c r="A109" s="172"/>
      <c r="B109" s="64"/>
      <c r="C109" s="259"/>
      <c r="D109" s="16"/>
      <c r="E109" s="102"/>
      <c r="F109" s="24"/>
      <c r="G109" s="93"/>
      <c r="H109" s="68"/>
      <c r="I109" s="68"/>
      <c r="J109" s="282"/>
      <c r="K109" s="15"/>
      <c r="L109" s="134"/>
      <c r="M109" s="188"/>
    </row>
    <row r="110" spans="1:15">
      <c r="A110" s="14"/>
      <c r="B110" s="14"/>
      <c r="C110" s="255"/>
      <c r="D110" s="14"/>
      <c r="E110" s="92"/>
      <c r="F110" s="23"/>
      <c r="G110" s="94"/>
      <c r="H110" s="67"/>
      <c r="I110" s="67"/>
      <c r="J110" s="268"/>
      <c r="K110" s="10"/>
      <c r="L110" s="10"/>
      <c r="M110" s="146"/>
    </row>
    <row r="111" spans="1:15">
      <c r="A111" s="172"/>
      <c r="B111" s="64"/>
      <c r="C111" s="246"/>
      <c r="D111" s="16"/>
      <c r="E111" s="76"/>
      <c r="F111" s="19"/>
      <c r="G111" s="76"/>
      <c r="H111" s="71"/>
      <c r="I111" s="71"/>
      <c r="J111" s="263"/>
      <c r="K111" s="15"/>
      <c r="L111" s="15"/>
      <c r="M111" s="32"/>
    </row>
    <row r="112" spans="1:15">
      <c r="A112" s="110"/>
      <c r="B112" s="64"/>
      <c r="C112" s="246"/>
      <c r="D112" s="16"/>
      <c r="E112" s="76"/>
      <c r="F112" s="19"/>
      <c r="G112" s="76"/>
      <c r="H112" s="71"/>
      <c r="I112" s="71"/>
      <c r="J112" s="263"/>
      <c r="K112" s="15"/>
      <c r="L112" s="15"/>
      <c r="M112" s="31"/>
    </row>
    <row r="113" spans="1:13">
      <c r="A113" s="110"/>
      <c r="B113" s="64"/>
      <c r="C113" s="246"/>
      <c r="D113" s="16"/>
      <c r="E113" s="76"/>
      <c r="F113" s="19"/>
      <c r="G113" s="76"/>
      <c r="H113" s="71"/>
      <c r="I113" s="71"/>
      <c r="J113" s="263"/>
      <c r="K113" s="15"/>
      <c r="L113" s="15"/>
      <c r="M113" s="31"/>
    </row>
    <row r="114" spans="1:13">
      <c r="A114" s="14"/>
      <c r="B114" s="17"/>
      <c r="C114" s="255"/>
      <c r="D114" s="14"/>
      <c r="E114" s="92"/>
      <c r="F114" s="23"/>
      <c r="G114" s="94"/>
      <c r="H114" s="67"/>
      <c r="I114" s="178"/>
      <c r="J114" s="285"/>
      <c r="K114" s="180"/>
      <c r="L114" s="10"/>
      <c r="M114" s="14"/>
    </row>
    <row r="115" spans="1:13" ht="49.5" customHeight="1">
      <c r="A115" s="172"/>
      <c r="B115" s="64"/>
      <c r="C115" s="246"/>
      <c r="D115" s="16"/>
      <c r="E115" s="76"/>
      <c r="F115" s="19"/>
      <c r="G115" s="76"/>
      <c r="H115" s="71"/>
      <c r="I115" s="177"/>
      <c r="J115" s="278"/>
      <c r="K115" s="179"/>
      <c r="L115" s="15"/>
      <c r="M115" s="31"/>
    </row>
    <row r="116" spans="1:13" ht="23.45" customHeight="1">
      <c r="A116" s="172"/>
      <c r="B116" s="64"/>
      <c r="C116" s="246"/>
      <c r="D116" s="16"/>
      <c r="E116" s="76"/>
      <c r="F116" s="19"/>
      <c r="G116" s="76"/>
      <c r="H116" s="71"/>
      <c r="I116" s="177"/>
      <c r="J116" s="278"/>
      <c r="K116" s="179"/>
      <c r="L116" s="15"/>
      <c r="M116" s="31"/>
    </row>
    <row r="117" spans="1:13" ht="24" customHeight="1">
      <c r="A117" s="172"/>
      <c r="B117" s="64"/>
      <c r="C117" s="246"/>
      <c r="D117" s="16"/>
      <c r="E117" s="76"/>
      <c r="F117" s="19"/>
      <c r="G117" s="76"/>
      <c r="H117" s="71"/>
      <c r="I117" s="177"/>
      <c r="J117" s="278"/>
      <c r="K117" s="179"/>
      <c r="L117" s="15"/>
      <c r="M117" s="31"/>
    </row>
  </sheetData>
  <autoFilter ref="A10:N10" xr:uid="{00000000-0009-0000-0000-000000000000}"/>
  <mergeCells count="14">
    <mergeCell ref="D98:M98"/>
    <mergeCell ref="G9:K9"/>
    <mergeCell ref="G8:K8"/>
    <mergeCell ref="D12:M12"/>
    <mergeCell ref="D34:M34"/>
    <mergeCell ref="D69:M69"/>
    <mergeCell ref="E3:M3"/>
    <mergeCell ref="A3:C3"/>
    <mergeCell ref="A1:C1"/>
    <mergeCell ref="G4:I4"/>
    <mergeCell ref="G7:K7"/>
    <mergeCell ref="G5:K5"/>
    <mergeCell ref="G6:K6"/>
    <mergeCell ref="D2:L2"/>
  </mergeCells>
  <pageMargins left="0.25" right="0.25" top="0.75" bottom="0.75" header="0.3" footer="0.3"/>
  <pageSetup paperSize="5" orientation="landscape" r:id="rId1"/>
  <headerFooter>
    <oddFooter xml:space="preserve">&amp;L&amp;Z&amp;F&amp;R                        &amp;D                   &amp;P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B5A3-6938-4696-B934-0DEEB83F50CA}">
  <dimension ref="A1:C24"/>
  <sheetViews>
    <sheetView workbookViewId="0">
      <selection activeCell="A2" sqref="A2"/>
    </sheetView>
  </sheetViews>
  <sheetFormatPr defaultRowHeight="14.45"/>
  <cols>
    <col min="1" max="1" width="56.140625" customWidth="1"/>
    <col min="2" max="2" width="51.28515625" customWidth="1"/>
    <col min="3" max="3" width="38.140625" customWidth="1"/>
  </cols>
  <sheetData>
    <row r="1" spans="1:3">
      <c r="A1" s="223" t="s">
        <v>142</v>
      </c>
      <c r="B1" s="224" t="s">
        <v>143</v>
      </c>
      <c r="C1" s="225" t="s">
        <v>144</v>
      </c>
    </row>
    <row r="2" spans="1:3">
      <c r="A2" s="226"/>
      <c r="B2" s="226"/>
      <c r="C2" s="226"/>
    </row>
    <row r="3" spans="1:3">
      <c r="A3" s="128"/>
      <c r="B3" s="227"/>
      <c r="C3" s="128"/>
    </row>
    <row r="4" spans="1:3">
      <c r="A4" s="128"/>
      <c r="B4" s="124"/>
      <c r="C4" s="124"/>
    </row>
    <row r="5" spans="1:3">
      <c r="A5" s="128"/>
      <c r="B5" s="124"/>
      <c r="C5" s="124"/>
    </row>
    <row r="6" spans="1:3">
      <c r="A6" s="128"/>
      <c r="B6" s="124"/>
      <c r="C6" s="124"/>
    </row>
    <row r="7" spans="1:3">
      <c r="A7" s="128"/>
      <c r="B7" s="124"/>
      <c r="C7" s="124"/>
    </row>
    <row r="8" spans="1:3">
      <c r="A8" s="128"/>
      <c r="B8" s="124"/>
      <c r="C8" s="124"/>
    </row>
    <row r="9" spans="1:3">
      <c r="A9" s="128"/>
      <c r="B9" s="124"/>
      <c r="C9" s="124"/>
    </row>
    <row r="10" spans="1:3">
      <c r="A10" s="128"/>
      <c r="B10" s="124"/>
      <c r="C10" s="124"/>
    </row>
    <row r="11" spans="1:3">
      <c r="A11" s="128"/>
      <c r="B11" s="124"/>
      <c r="C11" s="124"/>
    </row>
    <row r="12" spans="1:3">
      <c r="A12" s="128"/>
      <c r="B12" s="124"/>
      <c r="C12" s="124"/>
    </row>
    <row r="13" spans="1:3">
      <c r="A13" s="124"/>
      <c r="B13" s="124"/>
      <c r="C13" s="124"/>
    </row>
    <row r="14" spans="1:3">
      <c r="A14" s="124"/>
      <c r="B14" s="124"/>
      <c r="C14" s="124"/>
    </row>
    <row r="15" spans="1:3">
      <c r="A15" s="124"/>
      <c r="B15" s="124"/>
      <c r="C15" s="124"/>
    </row>
    <row r="16" spans="1:3">
      <c r="A16" s="124"/>
      <c r="B16" s="124"/>
      <c r="C16" s="124"/>
    </row>
    <row r="17" spans="1:3">
      <c r="A17" s="124"/>
      <c r="B17" s="124"/>
      <c r="C17" s="124"/>
    </row>
    <row r="18" spans="1:3">
      <c r="A18" s="124"/>
      <c r="B18" s="124"/>
      <c r="C18" s="124"/>
    </row>
    <row r="19" spans="1:3">
      <c r="A19" s="124"/>
      <c r="B19" s="124"/>
      <c r="C19" s="124"/>
    </row>
    <row r="20" spans="1:3">
      <c r="A20" s="124"/>
      <c r="B20" s="124"/>
      <c r="C20" s="124"/>
    </row>
    <row r="21" spans="1:3">
      <c r="A21" s="124"/>
      <c r="B21" s="124"/>
      <c r="C21" s="124"/>
    </row>
    <row r="22" spans="1:3">
      <c r="A22" s="124"/>
      <c r="B22" s="124"/>
      <c r="C22" s="124"/>
    </row>
    <row r="23" spans="1:3">
      <c r="A23" s="124"/>
      <c r="B23" s="124"/>
      <c r="C23" s="124"/>
    </row>
    <row r="24" spans="1:3">
      <c r="A24" s="124"/>
      <c r="B24" s="124"/>
      <c r="C24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zoomScaleNormal="100" workbookViewId="0">
      <selection activeCell="K16" sqref="K16"/>
    </sheetView>
  </sheetViews>
  <sheetFormatPr defaultColWidth="8.85546875" defaultRowHeight="14.45"/>
  <cols>
    <col min="1" max="1" width="14.140625" customWidth="1"/>
    <col min="2" max="2" width="15.5703125" style="3" customWidth="1"/>
    <col min="3" max="3" width="18.85546875" style="1" customWidth="1"/>
    <col min="4" max="4" width="18.85546875" customWidth="1"/>
    <col min="5" max="5" width="28.28515625" customWidth="1"/>
    <col min="6" max="6" width="30" style="45" customWidth="1"/>
    <col min="7" max="7" width="19.5703125" customWidth="1"/>
    <col min="8" max="8" width="17.28515625" customWidth="1"/>
  </cols>
  <sheetData>
    <row r="1" spans="1:31" ht="17.45" customHeight="1">
      <c r="A1" s="343" t="s">
        <v>145</v>
      </c>
      <c r="B1" s="344"/>
      <c r="C1" s="344"/>
      <c r="D1" s="344"/>
      <c r="E1" s="344"/>
      <c r="F1" s="344"/>
      <c r="G1" s="344"/>
      <c r="H1" s="345"/>
    </row>
    <row r="2" spans="1:31" s="183" customFormat="1" ht="34.9">
      <c r="A2" s="181" t="s">
        <v>146</v>
      </c>
      <c r="B2" s="185" t="s">
        <v>147</v>
      </c>
      <c r="C2" s="182"/>
      <c r="F2" s="184"/>
    </row>
    <row r="3" spans="1:31" s="7" customFormat="1" ht="15" customHeight="1">
      <c r="A3" s="342" t="s">
        <v>148</v>
      </c>
      <c r="B3" s="340"/>
      <c r="C3" s="340"/>
      <c r="D3" s="340"/>
      <c r="E3" s="340"/>
      <c r="F3" s="340"/>
      <c r="G3" s="340"/>
      <c r="H3" s="34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31" s="5" customFormat="1" ht="15" customHeight="1">
      <c r="A4" s="46" t="s">
        <v>149</v>
      </c>
      <c r="B4" s="46" t="s">
        <v>150</v>
      </c>
      <c r="C4" s="54" t="s">
        <v>151</v>
      </c>
      <c r="D4" s="54" t="s">
        <v>152</v>
      </c>
      <c r="E4" s="46" t="s">
        <v>153</v>
      </c>
      <c r="F4" s="54" t="s">
        <v>154</v>
      </c>
      <c r="G4" s="46" t="s">
        <v>18</v>
      </c>
      <c r="H4" s="46" t="s">
        <v>155</v>
      </c>
    </row>
    <row r="5" spans="1:31" s="111" customFormat="1" ht="15" customHeight="1">
      <c r="A5" s="52"/>
      <c r="B5" s="52"/>
      <c r="C5" s="52"/>
      <c r="D5" s="52"/>
      <c r="E5" s="52"/>
      <c r="F5" s="52"/>
      <c r="G5" s="52"/>
      <c r="H5" s="52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</row>
    <row r="6" spans="1:31" s="5" customFormat="1" ht="15" customHeight="1">
      <c r="A6" s="52"/>
      <c r="B6" s="52"/>
      <c r="C6" s="108"/>
      <c r="D6" s="55"/>
      <c r="E6" s="52"/>
      <c r="F6" s="52"/>
      <c r="G6" s="50"/>
      <c r="H6" s="50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</row>
    <row r="7" spans="1:31" s="5" customFormat="1" ht="15" customHeight="1">
      <c r="A7" s="52"/>
      <c r="B7" s="52"/>
      <c r="C7" s="108"/>
      <c r="D7" s="52"/>
      <c r="E7" s="55"/>
      <c r="F7" s="52"/>
      <c r="G7" s="50"/>
      <c r="H7" s="50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</row>
    <row r="8" spans="1:31" s="5" customFormat="1" ht="15" customHeight="1">
      <c r="A8" s="52"/>
      <c r="B8" s="52"/>
      <c r="C8" s="108"/>
      <c r="D8" s="52"/>
      <c r="E8" s="51"/>
      <c r="F8" s="52"/>
      <c r="G8" s="50"/>
      <c r="H8" s="50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</row>
    <row r="9" spans="1:31" s="7" customFormat="1" ht="15" customHeight="1">
      <c r="A9" s="342" t="s">
        <v>156</v>
      </c>
      <c r="B9" s="340"/>
      <c r="C9" s="340"/>
      <c r="D9" s="340"/>
      <c r="E9" s="340"/>
      <c r="F9" s="340"/>
      <c r="G9" s="340"/>
      <c r="H9" s="341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5"/>
      <c r="Z9" s="5"/>
      <c r="AA9" s="5"/>
    </row>
    <row r="10" spans="1:31" s="7" customFormat="1" ht="15" customHeight="1">
      <c r="A10" s="46" t="s">
        <v>149</v>
      </c>
      <c r="B10" s="46" t="s">
        <v>150</v>
      </c>
      <c r="C10" s="54" t="s">
        <v>151</v>
      </c>
      <c r="D10" s="54" t="s">
        <v>152</v>
      </c>
      <c r="E10" s="46" t="s">
        <v>153</v>
      </c>
      <c r="F10" s="54" t="s">
        <v>154</v>
      </c>
      <c r="G10" s="47" t="s">
        <v>18</v>
      </c>
      <c r="H10" s="47" t="s">
        <v>155</v>
      </c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5"/>
      <c r="Z10" s="5"/>
      <c r="AA10" s="5"/>
      <c r="AB10" s="5"/>
    </row>
    <row r="11" spans="1:31" s="5" customFormat="1" ht="15" customHeight="1">
      <c r="A11" s="52"/>
      <c r="B11" s="52"/>
      <c r="C11" s="108"/>
      <c r="D11" s="52"/>
      <c r="E11" s="55"/>
      <c r="F11" s="52"/>
      <c r="G11" s="50"/>
      <c r="H11" s="50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</row>
    <row r="12" spans="1:31" s="5" customFormat="1" ht="15" customHeight="1">
      <c r="A12" s="52"/>
      <c r="B12" s="52"/>
      <c r="C12" s="108"/>
      <c r="D12" s="52"/>
      <c r="E12" s="51"/>
      <c r="F12" s="52"/>
      <c r="G12" s="50"/>
      <c r="H12" s="50"/>
    </row>
    <row r="13" spans="1:31" s="6" customFormat="1" ht="15" customHeight="1">
      <c r="A13" s="52"/>
      <c r="B13" s="52"/>
      <c r="C13" s="108"/>
      <c r="D13" s="52"/>
      <c r="E13" s="55"/>
      <c r="G13" s="50"/>
      <c r="H13" s="5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s="7" customFormat="1" ht="15" customHeight="1">
      <c r="A14" s="342" t="s">
        <v>157</v>
      </c>
      <c r="B14" s="340"/>
      <c r="C14" s="340"/>
      <c r="D14" s="340"/>
      <c r="E14" s="340"/>
      <c r="F14" s="340"/>
      <c r="G14" s="340"/>
      <c r="H14" s="34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31" s="7" customFormat="1" ht="15" customHeight="1">
      <c r="A15" s="46" t="s">
        <v>149</v>
      </c>
      <c r="B15" s="46" t="s">
        <v>150</v>
      </c>
      <c r="C15" s="54" t="s">
        <v>151</v>
      </c>
      <c r="D15" s="54" t="s">
        <v>152</v>
      </c>
      <c r="E15" s="46" t="s">
        <v>153</v>
      </c>
      <c r="F15" s="54" t="s">
        <v>154</v>
      </c>
      <c r="G15" s="47" t="s">
        <v>18</v>
      </c>
      <c r="H15" s="47" t="s">
        <v>155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31" s="6" customFormat="1" ht="15" customHeight="1">
      <c r="A16" s="51"/>
      <c r="B16" s="51"/>
      <c r="C16" s="108"/>
      <c r="D16" s="112"/>
      <c r="E16" s="55"/>
      <c r="F16" s="52"/>
      <c r="G16" s="50"/>
      <c r="H16" s="5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8"/>
    </row>
    <row r="17" spans="1:29" s="6" customFormat="1" ht="15" customHeight="1">
      <c r="A17" s="51"/>
      <c r="B17" s="51"/>
      <c r="C17" s="108"/>
      <c r="D17" s="112"/>
      <c r="E17" s="55"/>
      <c r="F17" s="52"/>
      <c r="G17" s="50"/>
      <c r="H17" s="5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8"/>
    </row>
    <row r="18" spans="1:29" s="7" customFormat="1" ht="15" customHeight="1">
      <c r="A18" s="342" t="s">
        <v>158</v>
      </c>
      <c r="B18" s="340"/>
      <c r="C18" s="340"/>
      <c r="D18" s="340"/>
      <c r="E18" s="340"/>
      <c r="F18" s="340"/>
      <c r="G18" s="340"/>
      <c r="H18" s="34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9" s="7" customFormat="1" ht="15" customHeight="1">
      <c r="A19" s="46" t="s">
        <v>149</v>
      </c>
      <c r="B19" s="46" t="s">
        <v>150</v>
      </c>
      <c r="C19" s="54"/>
      <c r="D19" s="54" t="s">
        <v>152</v>
      </c>
      <c r="E19" s="46" t="s">
        <v>153</v>
      </c>
      <c r="F19" s="54" t="s">
        <v>154</v>
      </c>
      <c r="G19" s="47" t="s">
        <v>18</v>
      </c>
      <c r="H19" s="47" t="s">
        <v>155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9" s="6" customFormat="1" ht="15" customHeight="1">
      <c r="A20" s="51"/>
      <c r="B20" s="51"/>
      <c r="C20" s="109"/>
      <c r="D20" s="113"/>
      <c r="E20" s="55"/>
      <c r="F20" s="51"/>
      <c r="G20" s="50"/>
      <c r="H20" s="5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8"/>
    </row>
    <row r="21" spans="1:29" ht="33" customHeight="1">
      <c r="A21" s="120"/>
      <c r="B21" s="120"/>
      <c r="C21" s="207"/>
      <c r="D21" s="208"/>
      <c r="E21" s="51"/>
      <c r="F21" s="51"/>
      <c r="G21" s="50"/>
      <c r="H21" s="50"/>
    </row>
    <row r="22" spans="1:29" ht="33" customHeight="1">
      <c r="A22" s="120"/>
      <c r="B22" s="120"/>
      <c r="C22" s="120"/>
      <c r="D22" s="209"/>
      <c r="E22" s="51"/>
      <c r="F22" s="51"/>
      <c r="G22" s="50"/>
      <c r="H22" s="50"/>
    </row>
    <row r="23" spans="1:29" ht="15" customHeight="1">
      <c r="A23" s="120"/>
      <c r="B23" s="120"/>
      <c r="C23" s="120"/>
      <c r="D23" s="212"/>
      <c r="E23" s="51"/>
      <c r="F23" s="51"/>
      <c r="G23" s="50"/>
      <c r="H23" s="50"/>
    </row>
    <row r="24" spans="1:29">
      <c r="A24" s="51"/>
      <c r="B24" s="51"/>
      <c r="C24" s="210"/>
      <c r="D24" s="124"/>
      <c r="E24" s="211"/>
      <c r="F24" s="51"/>
      <c r="G24" s="50"/>
      <c r="H24" s="50"/>
    </row>
    <row r="25" spans="1:29">
      <c r="A25" s="51"/>
      <c r="B25" s="51"/>
      <c r="C25" s="52"/>
      <c r="E25" s="53"/>
      <c r="F25" s="51"/>
      <c r="G25" s="50"/>
      <c r="H25" s="50"/>
    </row>
    <row r="26" spans="1:29">
      <c r="A26" s="51"/>
      <c r="B26" s="51"/>
      <c r="C26" s="52"/>
      <c r="D26" s="51"/>
      <c r="E26" s="53"/>
      <c r="F26" s="51"/>
      <c r="G26" s="50"/>
      <c r="H26" s="50"/>
    </row>
    <row r="27" spans="1:29" ht="15" customHeight="1">
      <c r="A27" s="119"/>
      <c r="B27" s="120"/>
      <c r="C27" s="120"/>
      <c r="D27" s="119"/>
      <c r="E27" s="51"/>
      <c r="F27" s="51"/>
      <c r="G27" s="50"/>
      <c r="H27" s="50"/>
    </row>
    <row r="28" spans="1:29" s="7" customFormat="1" ht="15" customHeight="1">
      <c r="A28" s="342" t="s">
        <v>159</v>
      </c>
      <c r="B28" s="340"/>
      <c r="C28" s="340"/>
      <c r="D28" s="340"/>
      <c r="E28" s="340"/>
      <c r="F28" s="340"/>
      <c r="G28" s="340"/>
      <c r="H28" s="34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9" s="7" customFormat="1" ht="15" customHeight="1">
      <c r="A29" s="46" t="s">
        <v>149</v>
      </c>
      <c r="B29" s="46" t="s">
        <v>150</v>
      </c>
      <c r="C29" s="54" t="s">
        <v>151</v>
      </c>
      <c r="D29" s="54" t="s">
        <v>152</v>
      </c>
      <c r="E29" s="46" t="s">
        <v>153</v>
      </c>
      <c r="F29" s="54" t="s">
        <v>154</v>
      </c>
      <c r="G29" s="47" t="s">
        <v>18</v>
      </c>
      <c r="H29" s="47" t="s">
        <v>155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9" s="160" customFormat="1" ht="15" customHeight="1">
      <c r="A30" s="213"/>
      <c r="B30" s="213"/>
      <c r="C30" s="214"/>
      <c r="D30" s="217"/>
      <c r="E30" s="213"/>
      <c r="F30" s="213"/>
      <c r="G30" s="215"/>
      <c r="H30" s="215"/>
    </row>
    <row r="31" spans="1:29" ht="15" customHeight="1">
      <c r="A31" s="122"/>
      <c r="B31" s="166"/>
      <c r="C31" s="123"/>
      <c r="D31" s="51"/>
      <c r="E31" s="51"/>
      <c r="F31" s="51"/>
      <c r="G31" s="50"/>
      <c r="H31" s="50"/>
    </row>
    <row r="32" spans="1:29" ht="15" customHeight="1">
      <c r="A32" s="51"/>
      <c r="B32" s="51"/>
      <c r="C32" s="52"/>
      <c r="D32" s="51"/>
      <c r="E32" s="51"/>
      <c r="F32" s="51"/>
      <c r="G32" s="50"/>
      <c r="H32" s="50"/>
    </row>
    <row r="33" spans="1:8">
      <c r="A33" s="338" t="s">
        <v>160</v>
      </c>
      <c r="B33" s="339"/>
      <c r="C33" s="339"/>
      <c r="D33" s="339"/>
      <c r="E33" s="339"/>
      <c r="F33" s="339"/>
      <c r="G33" s="340"/>
      <c r="H33" s="341"/>
    </row>
    <row r="34" spans="1:8" s="160" customFormat="1">
      <c r="A34" s="221"/>
      <c r="B34" s="213"/>
      <c r="C34" s="216"/>
      <c r="D34" s="217"/>
      <c r="E34" s="217"/>
      <c r="F34" s="217"/>
      <c r="G34" s="218"/>
      <c r="H34" s="218"/>
    </row>
    <row r="35" spans="1:8" s="160" customFormat="1">
      <c r="A35" s="217"/>
      <c r="B35" s="219"/>
      <c r="C35" s="216"/>
      <c r="D35"/>
      <c r="E35" s="217"/>
      <c r="F35" s="217"/>
      <c r="G35" s="218"/>
      <c r="H35" s="218"/>
    </row>
    <row r="36" spans="1:8">
      <c r="A36" s="222"/>
      <c r="B36" s="166"/>
      <c r="C36" s="123"/>
      <c r="D36" s="220"/>
      <c r="E36" s="127"/>
      <c r="F36" s="126"/>
      <c r="G36" s="121"/>
      <c r="H36" s="121"/>
    </row>
    <row r="37" spans="1:8">
      <c r="A37" s="122"/>
      <c r="B37" s="124"/>
      <c r="C37" s="123"/>
      <c r="D37" s="220"/>
      <c r="E37" s="127"/>
      <c r="F37" s="126"/>
      <c r="G37" s="121"/>
      <c r="H37" s="121"/>
    </row>
    <row r="38" spans="1:8">
      <c r="A38" s="122"/>
      <c r="B38" s="124"/>
      <c r="C38" s="123"/>
      <c r="D38" s="220"/>
      <c r="E38" s="127"/>
      <c r="F38" s="126"/>
      <c r="G38" s="121"/>
      <c r="H38" s="121"/>
    </row>
    <row r="39" spans="1:8">
      <c r="A39" s="122"/>
      <c r="B39" s="124"/>
      <c r="C39" s="123"/>
      <c r="D39" s="125"/>
      <c r="E39" s="127"/>
      <c r="F39" s="126"/>
      <c r="G39" s="121"/>
      <c r="H39" s="121"/>
    </row>
    <row r="40" spans="1:8" ht="15.75" customHeight="1">
      <c r="A40" s="124"/>
      <c r="B40" s="124"/>
      <c r="C40" s="128"/>
      <c r="D40" s="124"/>
      <c r="E40" s="127"/>
      <c r="F40" s="126"/>
    </row>
    <row r="41" spans="1:8">
      <c r="F41" s="9"/>
    </row>
  </sheetData>
  <mergeCells count="7">
    <mergeCell ref="A33:H33"/>
    <mergeCell ref="A28:H28"/>
    <mergeCell ref="A1:H1"/>
    <mergeCell ref="A3:H3"/>
    <mergeCell ref="A9:H9"/>
    <mergeCell ref="A14:H14"/>
    <mergeCell ref="A18:H18"/>
  </mergeCells>
  <hyperlinks>
    <hyperlink ref="B2" r:id="rId1" display="https://wcbbc.sharepoint.com/:x:/r/sites/ts_OnCallSup/_layouts/15/WopiFrame.aspx?sourcedoc=%7b5c56b3e8-59f0-40a2-b35a-ab83f7799dc6%7d&amp;action=default" xr:uid="{00000000-0004-0000-0200-000000000000}"/>
  </hyperlinks>
  <pageMargins left="0.7" right="0.7" top="0.75" bottom="0.75" header="0.3" footer="0.3"/>
  <pageSetup paperSize="5" orientation="landscape" r:id="rId2"/>
  <rowBreaks count="1" manualBreakCount="1">
    <brk id="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5"/>
    </sheetView>
  </sheetViews>
  <sheetFormatPr defaultRowHeight="14.45"/>
  <cols>
    <col min="1" max="1" width="185.42578125" customWidth="1"/>
  </cols>
  <sheetData>
    <row r="1" spans="1:1">
      <c r="A1" s="114"/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53bc9f-c87e-4c3e-a667-aa91027d8d2f" xsi:nil="true"/>
    <lcf76f155ced4ddcb4097134ff3c332f xmlns="2690b409-dff4-400a-84c0-fdf96062c3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E0AA9ED87C3E49AEE751A1DF9EE1DD" ma:contentTypeVersion="12" ma:contentTypeDescription="Create a new document." ma:contentTypeScope="" ma:versionID="593c96702ab2476960a3d2ef88eadbcd">
  <xsd:schema xmlns:xsd="http://www.w3.org/2001/XMLSchema" xmlns:xs="http://www.w3.org/2001/XMLSchema" xmlns:p="http://schemas.microsoft.com/office/2006/metadata/properties" xmlns:ns2="2690b409-dff4-400a-84c0-fdf96062c38a" xmlns:ns3="f753bc9f-c87e-4c3e-a667-aa91027d8d2f" targetNamespace="http://schemas.microsoft.com/office/2006/metadata/properties" ma:root="true" ma:fieldsID="d7d8ba8558693d41fdca0f442a0f2611" ns2:_="" ns3:_="">
    <xsd:import namespace="2690b409-dff4-400a-84c0-fdf96062c38a"/>
    <xsd:import namespace="f753bc9f-c87e-4c3e-a667-aa91027d8d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0b409-dff4-400a-84c0-fdf96062c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c1751a7-ec98-463c-843e-8f298683e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3bc9f-c87e-4c3e-a667-aa91027d8d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861535-7889-4eff-9f32-ef0011a4366a}" ma:internalName="TaxCatchAll" ma:showField="CatchAllData" ma:web="f753bc9f-c87e-4c3e-a667-aa91027d8d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B8F98-E6C0-4530-AB36-FB88289D0ACD}"/>
</file>

<file path=customXml/itemProps2.xml><?xml version="1.0" encoding="utf-8"?>
<ds:datastoreItem xmlns:ds="http://schemas.openxmlformats.org/officeDocument/2006/customXml" ds:itemID="{2D7A0E8D-93C3-4C60-8250-7B209CA2EF52}"/>
</file>

<file path=customXml/itemProps3.xml><?xml version="1.0" encoding="utf-8"?>
<ds:datastoreItem xmlns:ds="http://schemas.openxmlformats.org/officeDocument/2006/customXml" ds:itemID="{0B58D693-D095-4B26-A9AD-0430875E23E7}"/>
</file>

<file path=docMetadata/LabelInfo.xml><?xml version="1.0" encoding="utf-8"?>
<clbl:labelList xmlns:clbl="http://schemas.microsoft.com/office/2020/mipLabelMetadata">
  <clbl:label id="{05c5c963-c839-4c9e-b5c1-b51b3799ac37}" enabled="0" method="" siteId="{05c5c963-c839-4c9e-b5c1-b51b3799ac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WorkSafeBC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Vesna Novakovic</dc:creator>
  <cp:keywords/>
  <dc:description/>
  <cp:lastModifiedBy/>
  <cp:revision/>
  <dcterms:created xsi:type="dcterms:W3CDTF">2014-08-25T18:58:47Z</dcterms:created>
  <dcterms:modified xsi:type="dcterms:W3CDTF">2026-06-23T20:03:23Z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0x01010055E0AA9ED87C3E49AEE751A1DF9EE1DD</vt:lpwstr>
  </property>
  <property fmtid="{D5CDD505-2E9C-101B-9397-08002B2CF9AE}" pid="3" name="MediaServiceImageTags">
    <vt:lpwstr/>
  </property>
</Properties>
</file>